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  <sheet name="Un pedid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<sst xmlns="http://schemas.openxmlformats.org/spreadsheetml/2006/main" count="104" uniqueCount="83">
  <si>
    <t xml:space="preserve">REPOSTERIA QUE VENDE</t>
  </si>
  <si>
    <t xml:space="preserve">Calculadora de precios - Bono 1 de 5</t>
  </si>
  <si>
    <t xml:space="preserve">COMO SE USA</t>
  </si>
  <si>
    <t xml:space="preserve">1. Escribi en AZUL solamente. Lo negro se calcula solo: si lo pisas, deja de funcionar.</t>
  </si>
  <si>
    <t xml:space="preserve">2. Columna D: lo que te costaron los ingredientes de UNA tanda completa.</t>
  </si>
  <si>
    <t xml:space="preserve">3. Columna E: lo que gastaste en empaque, etiquetas y bolsas de esa misma tanda.</t>
  </si>
  <si>
    <t xml:space="preserve">4. Columna F: el margen que queres ganar. Escribi 75 para 75 por ciento.</t>
  </si>
  <si>
    <t xml:space="preserve">5. La columna H te dice a cuanto vender. La I, cuanto te queda limpio.</t>
  </si>
  <si>
    <t xml:space="preserve">6. Si no sabes tus costos todavia, deja los que ya vienen cargados: son los del curso.</t>
  </si>
  <si>
    <t xml:space="preserve">Margen que quiero ganar (se aplica a toda la tabla):</t>
  </si>
  <si>
    <t xml:space="preserve">por ciento</t>
  </si>
  <si>
    <t xml:space="preserve">#</t>
  </si>
  <si>
    <t xml:space="preserve">Receta</t>
  </si>
  <si>
    <t xml:space="preserve">Rinde</t>
  </si>
  <si>
    <t xml:space="preserve">Ingredientes ($)</t>
  </si>
  <si>
    <t xml:space="preserve">Empaque ($)</t>
  </si>
  <si>
    <t xml:space="preserve">Margen (%)</t>
  </si>
  <si>
    <t xml:space="preserve">Costo total ($)</t>
  </si>
  <si>
    <t xml:space="preserve">PRECIO DE VENTA ($)</t>
  </si>
  <si>
    <t xml:space="preserve">Te queda ($)</t>
  </si>
  <si>
    <t xml:space="preserve">Por porcion ($)</t>
  </si>
  <si>
    <t xml:space="preserve">Gelatina de mosaico</t>
  </si>
  <si>
    <t xml:space="preserve">24 porciones</t>
  </si>
  <si>
    <t xml:space="preserve">Gelatina de rompope</t>
  </si>
  <si>
    <t xml:space="preserve">20 porciones</t>
  </si>
  <si>
    <t xml:space="preserve">Flan napolitano</t>
  </si>
  <si>
    <t xml:space="preserve">12 porciones</t>
  </si>
  <si>
    <t xml:space="preserve">Carlota de limon</t>
  </si>
  <si>
    <t xml:space="preserve">16 porciones</t>
  </si>
  <si>
    <t xml:space="preserve">Chocoflan</t>
  </si>
  <si>
    <t xml:space="preserve">Gelatina de fresas con crema</t>
  </si>
  <si>
    <t xml:space="preserve">Panna cotta de cajeta</t>
  </si>
  <si>
    <t xml:space="preserve">Gelatina floral encapsulada</t>
  </si>
  <si>
    <t xml:space="preserve">Pastel de tres leches</t>
  </si>
  <si>
    <t xml:space="preserve">Pay de queso</t>
  </si>
  <si>
    <t xml:space="preserve">Pay de limon</t>
  </si>
  <si>
    <t xml:space="preserve">Pastel de elote</t>
  </si>
  <si>
    <t xml:space="preserve">Pastel de zanahoria</t>
  </si>
  <si>
    <t xml:space="preserve">Tarta de fresas</t>
  </si>
  <si>
    <t xml:space="preserve">Pastel imposible de chocolate</t>
  </si>
  <si>
    <t xml:space="preserve">Conchas</t>
  </si>
  <si>
    <t xml:space="preserve">12 piezas</t>
  </si>
  <si>
    <t xml:space="preserve">Roles de canela</t>
  </si>
  <si>
    <t xml:space="preserve">Orejas de hojaldre</t>
  </si>
  <si>
    <t xml:space="preserve">20 piezas</t>
  </si>
  <si>
    <t xml:space="preserve">Donas glaseadas</t>
  </si>
  <si>
    <t xml:space="preserve">Besos de nuez</t>
  </si>
  <si>
    <t xml:space="preserve">24 piezas</t>
  </si>
  <si>
    <t xml:space="preserve">Garibaldis</t>
  </si>
  <si>
    <t xml:space="preserve">Galletas decoradas</t>
  </si>
  <si>
    <t xml:space="preserve">Brownies</t>
  </si>
  <si>
    <t xml:space="preserve">Alfajores de cajeta</t>
  </si>
  <si>
    <t xml:space="preserve">18 piezas</t>
  </si>
  <si>
    <t xml:space="preserve">Polvorones de naranja</t>
  </si>
  <si>
    <t xml:space="preserve">Barras de granola</t>
  </si>
  <si>
    <t xml:space="preserve">16 piezas</t>
  </si>
  <si>
    <t xml:space="preserve">Galletas de avena</t>
  </si>
  <si>
    <t xml:space="preserve">Cakepops</t>
  </si>
  <si>
    <t xml:space="preserve">Fresas con chocolate</t>
  </si>
  <si>
    <t xml:space="preserve">Mini cheesecakes en vasito</t>
  </si>
  <si>
    <t xml:space="preserve">TOTALES</t>
  </si>
  <si>
    <t xml:space="preserve">Los costos que vienen cargados salen del curso y son precios de super mexicano de octubre de 2026. Son estimaciones, no tickets reales: cambialos por los tuyos.</t>
  </si>
  <si>
    <t xml:space="preserve">El empaque viene estimado en 18 por ciento del costo de ingredientes. Si usas caja en vez de bolsa, subilo.</t>
  </si>
  <si>
    <t xml:space="preserve">Si el precio que te da esta hoja es MENOR que el del curso, esta bien: el curso usa precios redondeados de mercado y la calculadora te da el piso, el minimo por debajo del cual estarias regalando tu trabajo. Cobrar mas que el piso es tu decision; cobrar menos, nunca.</t>
  </si>
  <si>
    <t xml:space="preserve">CUANTO ME DEJA ESTE PEDIDO</t>
  </si>
  <si>
    <t xml:space="preserve">Escribi en azul. Sirve para cotizar antes de aceptar un encargo.</t>
  </si>
  <si>
    <t xml:space="preserve">Que me pidieron</t>
  </si>
  <si>
    <t xml:space="preserve">Mesa de postres chica</t>
  </si>
  <si>
    <t xml:space="preserve">Cuantas piezas o porciones</t>
  </si>
  <si>
    <t xml:space="preserve">Ingredientes de todo el pedido</t>
  </si>
  <si>
    <t xml:space="preserve">Empaque y etiquetas</t>
  </si>
  <si>
    <t xml:space="preserve">Transporte (gasolina o envio)</t>
  </si>
  <si>
    <t xml:space="preserve">Horas que me va a llevar</t>
  </si>
  <si>
    <t xml:space="preserve">Cuanto vale mi hora</t>
  </si>
  <si>
    <t xml:space="preserve">LO QUE TE SALE</t>
  </si>
  <si>
    <t xml:space="preserve">Costo de materiales</t>
  </si>
  <si>
    <t xml:space="preserve">Lo que vale tu trabajo</t>
  </si>
  <si>
    <t xml:space="preserve">Costo total real</t>
  </si>
  <si>
    <t xml:space="preserve">Precio a cobrar con 75% de margen</t>
  </si>
  <si>
    <t xml:space="preserve">Te queda limpio, ya pagado tu trabajo</t>
  </si>
  <si>
    <t xml:space="preserve">Precio por pieza o porcion</t>
  </si>
  <si>
    <t xml:space="preserve">El precio se calcula sobre los materiales. Tu trabajo no se suma al precio: se compara contra lo que te queda. Si lo que te queda es menos que tu trabajo, ese pedido te esta costando plata.</t>
  </si>
  <si>
    <t xml:space="preserve">Ejemplo cargado: mesa de postres chica, 40 piezas. Son valores de ejemplo, cambialos por los de tu pedido.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</si>
</sst>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\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7B1E2E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7B1E2E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9"/>
      <color rgb="FF7B1E2E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7B1E2E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8821A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7B1E2E"/>
        <bgColor rgb="FF800000"/>
      </patternFill>
    </fill>
    <fill>
      <patternFill patternType="solid">
        <fgColor rgb="FFFFF9E6"/>
        <bgColor rgb="FFFDF6E3"/>
      </patternFill>
    </fill>
    <fill>
      <patternFill patternType="solid">
        <fgColor rgb="FFFFF4E2"/>
        <bgColor rgb="FFFDF6E3"/>
      </patternFill>
    </fill>
    <fill>
      <patternFill patternType="solid">
        <fgColor rgb="FFFDF6E3"/>
        <bgColor rgb="FFFFF4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FC0"/>
      </left>
      <right style="thin">
        <color rgb="FFD9CFC0"/>
      </right>
      <top style="thin">
        <color rgb="FFD9CFC0"/>
      </top>
      <bottom style="thin">
        <color rgb="FFD9CF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FC0"/>
      <rgbColor rgb="FF808080"/>
      <rgbColor rgb="FF9999FF"/>
      <rgbColor rgb="FF993366"/>
      <rgbColor rgb="FFFFF9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FF4E2"/>
      <rgbColor rgb="FFFDF6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821A"/>
      <rgbColor rgb="FFFF6600"/>
      <rgbColor rgb="FF666699"/>
      <rgbColor rgb="FF969696"/>
      <rgbColor rgb="FF003366"/>
      <rgbColor rgb="FF339966"/>
      <rgbColor rgb="FF003300"/>
      <rgbColor rgb="FF333300"/>
      <rgbColor rgb="FF7B1E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17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8" min="8" style="1" width="15"/>
    <col collapsed="false" customWidth="true" hidden="false" outlineLevel="0" max="9" min="9" style="1" width="20"/>
    <col collapsed="false" customWidth="true" hidden="false" outlineLevel="0" max="10" min="10" style="1" width="13"/>
    <col collapsed="false" customWidth="true" hidden="false" outlineLevel="0" max="11" min="11" style="1" width="14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5" t="s">
        <v>4</v>
      </c>
    </row>
    <row r="8" customFormat="false" ht="15" hidden="false" customHeight="true" outlineLevel="0" collapsed="false">
      <c r="B8" s="5" t="s">
        <v>5</v>
      </c>
    </row>
    <row r="9" customFormat="false" ht="15" hidden="false" customHeight="true" outlineLevel="0" collapsed="false">
      <c r="B9" s="5" t="s">
        <v>6</v>
      </c>
    </row>
    <row r="10" customFormat="false" ht="15" hidden="false" customHeight="true" outlineLevel="0" collapsed="false">
      <c r="B10" s="5" t="s">
        <v>7</v>
      </c>
    </row>
    <row r="11" customFormat="false" ht="15" hidden="false" customHeight="true" outlineLevel="0" collapsed="false">
      <c r="B11" s="5" t="s">
        <v>8</v>
      </c>
    </row>
    <row r="13" customFormat="false" ht="15" hidden="false" customHeight="true" outlineLevel="0" collapsed="false">
      <c r="B13" s="6" t="s">
        <v>9</v>
      </c>
      <c r="F13" s="7" t="n">
        <v>75</v>
      </c>
      <c r="G13" s="8" t="s">
        <v>10</v>
      </c>
    </row>
    <row r="15" customFormat="false" ht="31.5" hidden="false" customHeight="true" outlineLevel="0" collapsed="false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  <c r="G15" s="9" t="s">
        <v>16</v>
      </c>
      <c r="H15" s="9" t="s">
        <v>17</v>
      </c>
      <c r="I15" s="9" t="s">
        <v>18</v>
      </c>
      <c r="J15" s="9" t="s">
        <v>19</v>
      </c>
      <c r="K15" s="9" t="s">
        <v>20</v>
      </c>
    </row>
    <row r="16" customFormat="false" ht="15" hidden="false" customHeight="true" outlineLevel="0" collapsed="false">
      <c r="B16" s="10" t="n">
        <v>1</v>
      </c>
      <c r="C16" s="11" t="s">
        <v>21</v>
      </c>
      <c r="D16" s="11" t="s">
        <v>22</v>
      </c>
      <c r="E16" s="12" t="n">
        <v>38</v>
      </c>
      <c r="F16" s="12" t="n">
        <v>7</v>
      </c>
      <c r="G16" s="13" t="n">
        <f aca="false">$F$13</f>
        <v>75</v>
      </c>
      <c r="H16" s="14" t="n">
        <f aca="false">E16+F16</f>
        <v>45</v>
      </c>
      <c r="I16" s="15" t="n">
        <f aca="false">IF(G16&gt;=100,"revisa el margen",ROUND(H16/(1-G16/100),0))</f>
        <v>180</v>
      </c>
      <c r="J16" s="16" t="n">
        <f aca="false">IF(ISNUMBER(I16),I16-H16,"")</f>
        <v>135</v>
      </c>
      <c r="K16" s="14" t="n">
        <f aca="false">IF(ISNUMBER(I16),ROUND(I16/24,0),"")</f>
        <v>8</v>
      </c>
    </row>
    <row r="17" customFormat="false" ht="15" hidden="false" customHeight="true" outlineLevel="0" collapsed="false">
      <c r="B17" s="10" t="n">
        <v>2</v>
      </c>
      <c r="C17" s="11" t="s">
        <v>23</v>
      </c>
      <c r="D17" s="11" t="s">
        <v>24</v>
      </c>
      <c r="E17" s="12" t="n">
        <v>42</v>
      </c>
      <c r="F17" s="12" t="n">
        <v>8</v>
      </c>
      <c r="G17" s="13" t="n">
        <f aca="false">$F$13</f>
        <v>75</v>
      </c>
      <c r="H17" s="14" t="n">
        <f aca="false">E17+F17</f>
        <v>50</v>
      </c>
      <c r="I17" s="15" t="n">
        <f aca="false">IF(G17&gt;=100,"revisa el margen",ROUND(H17/(1-G17/100),0))</f>
        <v>200</v>
      </c>
      <c r="J17" s="16" t="n">
        <f aca="false">IF(ISNUMBER(I17),I17-H17,"")</f>
        <v>150</v>
      </c>
      <c r="K17" s="14" t="n">
        <f aca="false">IF(ISNUMBER(I17),ROUND(I17/20,0),"")</f>
        <v>10</v>
      </c>
    </row>
    <row r="18" customFormat="false" ht="15" hidden="false" customHeight="true" outlineLevel="0" collapsed="false">
      <c r="B18" s="10" t="n">
        <v>3</v>
      </c>
      <c r="C18" s="11" t="s">
        <v>25</v>
      </c>
      <c r="D18" s="11" t="s">
        <v>26</v>
      </c>
      <c r="E18" s="12" t="n">
        <v>45</v>
      </c>
      <c r="F18" s="12" t="n">
        <v>8</v>
      </c>
      <c r="G18" s="13" t="n">
        <f aca="false">$F$13</f>
        <v>75</v>
      </c>
      <c r="H18" s="14" t="n">
        <f aca="false">E18+F18</f>
        <v>53</v>
      </c>
      <c r="I18" s="15" t="n">
        <f aca="false">IF(G18&gt;=100,"revisa el margen",ROUND(H18/(1-G18/100),0))</f>
        <v>212</v>
      </c>
      <c r="J18" s="16" t="n">
        <f aca="false">IF(ISNUMBER(I18),I18-H18,"")</f>
        <v>159</v>
      </c>
      <c r="K18" s="14" t="n">
        <f aca="false">IF(ISNUMBER(I18),ROUND(I18/12,0),"")</f>
        <v>18</v>
      </c>
    </row>
    <row r="19" customFormat="false" ht="15" hidden="false" customHeight="true" outlineLevel="0" collapsed="false">
      <c r="B19" s="10" t="n">
        <v>4</v>
      </c>
      <c r="C19" s="11" t="s">
        <v>27</v>
      </c>
      <c r="D19" s="11" t="s">
        <v>28</v>
      </c>
      <c r="E19" s="12" t="n">
        <v>40</v>
      </c>
      <c r="F19" s="12" t="n">
        <v>7</v>
      </c>
      <c r="G19" s="13" t="n">
        <f aca="false">$F$13</f>
        <v>75</v>
      </c>
      <c r="H19" s="14" t="n">
        <f aca="false">E19+F19</f>
        <v>47</v>
      </c>
      <c r="I19" s="15" t="n">
        <f aca="false">IF(G19&gt;=100,"revisa el margen",ROUND(H19/(1-G19/100),0))</f>
        <v>188</v>
      </c>
      <c r="J19" s="16" t="n">
        <f aca="false">IF(ISNUMBER(I19),I19-H19,"")</f>
        <v>141</v>
      </c>
      <c r="K19" s="14" t="n">
        <f aca="false">IF(ISNUMBER(I19),ROUND(I19/16,0),"")</f>
        <v>12</v>
      </c>
    </row>
    <row r="20" customFormat="false" ht="15" hidden="false" customHeight="true" outlineLevel="0" collapsed="false">
      <c r="B20" s="10" t="n">
        <v>5</v>
      </c>
      <c r="C20" s="11" t="s">
        <v>29</v>
      </c>
      <c r="D20" s="11" t="s">
        <v>28</v>
      </c>
      <c r="E20" s="12" t="n">
        <v>65</v>
      </c>
      <c r="F20" s="12" t="n">
        <v>12</v>
      </c>
      <c r="G20" s="13" t="n">
        <f aca="false">$F$13</f>
        <v>75</v>
      </c>
      <c r="H20" s="14" t="n">
        <f aca="false">E20+F20</f>
        <v>77</v>
      </c>
      <c r="I20" s="15" t="n">
        <f aca="false">IF(G20&gt;=100,"revisa el margen",ROUND(H20/(1-G20/100),0))</f>
        <v>308</v>
      </c>
      <c r="J20" s="16" t="n">
        <f aca="false">IF(ISNUMBER(I20),I20-H20,"")</f>
        <v>231</v>
      </c>
      <c r="K20" s="14" t="n">
        <f aca="false">IF(ISNUMBER(I20),ROUND(I20/16,0),"")</f>
        <v>19</v>
      </c>
    </row>
    <row r="21" customFormat="false" ht="15" hidden="false" customHeight="true" outlineLevel="0" collapsed="false">
      <c r="B21" s="10" t="n">
        <v>6</v>
      </c>
      <c r="C21" s="11" t="s">
        <v>30</v>
      </c>
      <c r="D21" s="11" t="s">
        <v>24</v>
      </c>
      <c r="E21" s="12" t="n">
        <v>48</v>
      </c>
      <c r="F21" s="12" t="n">
        <v>9</v>
      </c>
      <c r="G21" s="13" t="n">
        <f aca="false">$F$13</f>
        <v>75</v>
      </c>
      <c r="H21" s="14" t="n">
        <f aca="false">E21+F21</f>
        <v>57</v>
      </c>
      <c r="I21" s="15" t="n">
        <f aca="false">IF(G21&gt;=100,"revisa el margen",ROUND(H21/(1-G21/100),0))</f>
        <v>228</v>
      </c>
      <c r="J21" s="16" t="n">
        <f aca="false">IF(ISNUMBER(I21),I21-H21,"")</f>
        <v>171</v>
      </c>
      <c r="K21" s="14" t="n">
        <f aca="false">IF(ISNUMBER(I21),ROUND(I21/20,0),"")</f>
        <v>11</v>
      </c>
    </row>
    <row r="22" customFormat="false" ht="15" hidden="false" customHeight="true" outlineLevel="0" collapsed="false">
      <c r="B22" s="10" t="n">
        <v>7</v>
      </c>
      <c r="C22" s="11" t="s">
        <v>31</v>
      </c>
      <c r="D22" s="11" t="s">
        <v>26</v>
      </c>
      <c r="E22" s="12" t="n">
        <v>38</v>
      </c>
      <c r="F22" s="12" t="n">
        <v>7</v>
      </c>
      <c r="G22" s="13" t="n">
        <f aca="false">$F$13</f>
        <v>75</v>
      </c>
      <c r="H22" s="14" t="n">
        <f aca="false">E22+F22</f>
        <v>45</v>
      </c>
      <c r="I22" s="15" t="n">
        <f aca="false">IF(G22&gt;=100,"revisa el margen",ROUND(H22/(1-G22/100),0))</f>
        <v>180</v>
      </c>
      <c r="J22" s="16" t="n">
        <f aca="false">IF(ISNUMBER(I22),I22-H22,"")</f>
        <v>135</v>
      </c>
      <c r="K22" s="14" t="n">
        <f aca="false">IF(ISNUMBER(I22),ROUND(I22/12,0),"")</f>
        <v>15</v>
      </c>
    </row>
    <row r="23" customFormat="false" ht="15" hidden="false" customHeight="true" outlineLevel="0" collapsed="false">
      <c r="B23" s="10" t="n">
        <v>8</v>
      </c>
      <c r="C23" s="11" t="s">
        <v>32</v>
      </c>
      <c r="D23" s="11" t="s">
        <v>26</v>
      </c>
      <c r="E23" s="12" t="n">
        <v>55</v>
      </c>
      <c r="F23" s="12" t="n">
        <v>10</v>
      </c>
      <c r="G23" s="13" t="n">
        <f aca="false">$F$13</f>
        <v>75</v>
      </c>
      <c r="H23" s="14" t="n">
        <f aca="false">E23+F23</f>
        <v>65</v>
      </c>
      <c r="I23" s="15" t="n">
        <f aca="false">IF(G23&gt;=100,"revisa el margen",ROUND(H23/(1-G23/100),0))</f>
        <v>260</v>
      </c>
      <c r="J23" s="16" t="n">
        <f aca="false">IF(ISNUMBER(I23),I23-H23,"")</f>
        <v>195</v>
      </c>
      <c r="K23" s="14" t="n">
        <f aca="false">IF(ISNUMBER(I23),ROUND(I23/12,0),"")</f>
        <v>22</v>
      </c>
    </row>
    <row r="24" customFormat="false" ht="15" hidden="false" customHeight="true" outlineLevel="0" collapsed="false">
      <c r="B24" s="10" t="n">
        <v>9</v>
      </c>
      <c r="C24" s="11" t="s">
        <v>33</v>
      </c>
      <c r="D24" s="11" t="s">
        <v>28</v>
      </c>
      <c r="E24" s="12" t="n">
        <v>95</v>
      </c>
      <c r="F24" s="12" t="n">
        <v>17</v>
      </c>
      <c r="G24" s="13" t="n">
        <f aca="false">$F$13</f>
        <v>75</v>
      </c>
      <c r="H24" s="14" t="n">
        <f aca="false">E24+F24</f>
        <v>112</v>
      </c>
      <c r="I24" s="15" t="n">
        <f aca="false">IF(G24&gt;=100,"revisa el margen",ROUND(H24/(1-G24/100),0))</f>
        <v>448</v>
      </c>
      <c r="J24" s="16" t="n">
        <f aca="false">IF(ISNUMBER(I24),I24-H24,"")</f>
        <v>336</v>
      </c>
      <c r="K24" s="14" t="n">
        <f aca="false">IF(ISNUMBER(I24),ROUND(I24/16,0),"")</f>
        <v>28</v>
      </c>
    </row>
    <row r="25" customFormat="false" ht="15" hidden="false" customHeight="true" outlineLevel="0" collapsed="false">
      <c r="B25" s="10" t="n">
        <v>10</v>
      </c>
      <c r="C25" s="11" t="s">
        <v>34</v>
      </c>
      <c r="D25" s="11" t="s">
        <v>26</v>
      </c>
      <c r="E25" s="12" t="n">
        <v>85</v>
      </c>
      <c r="F25" s="12" t="n">
        <v>15</v>
      </c>
      <c r="G25" s="13" t="n">
        <f aca="false">$F$13</f>
        <v>75</v>
      </c>
      <c r="H25" s="14" t="n">
        <f aca="false">E25+F25</f>
        <v>100</v>
      </c>
      <c r="I25" s="15" t="n">
        <f aca="false">IF(G25&gt;=100,"revisa el margen",ROUND(H25/(1-G25/100),0))</f>
        <v>400</v>
      </c>
      <c r="J25" s="16" t="n">
        <f aca="false">IF(ISNUMBER(I25),I25-H25,"")</f>
        <v>300</v>
      </c>
      <c r="K25" s="14" t="n">
        <f aca="false">IF(ISNUMBER(I25),ROUND(I25/12,0),"")</f>
        <v>33</v>
      </c>
    </row>
    <row r="26" customFormat="false" ht="15" hidden="false" customHeight="true" outlineLevel="0" collapsed="false">
      <c r="B26" s="10" t="n">
        <v>11</v>
      </c>
      <c r="C26" s="11" t="s">
        <v>35</v>
      </c>
      <c r="D26" s="11" t="s">
        <v>26</v>
      </c>
      <c r="E26" s="12" t="n">
        <v>62</v>
      </c>
      <c r="F26" s="12" t="n">
        <v>11</v>
      </c>
      <c r="G26" s="13" t="n">
        <f aca="false">$F$13</f>
        <v>75</v>
      </c>
      <c r="H26" s="14" t="n">
        <f aca="false">E26+F26</f>
        <v>73</v>
      </c>
      <c r="I26" s="15" t="n">
        <f aca="false">IF(G26&gt;=100,"revisa el margen",ROUND(H26/(1-G26/100),0))</f>
        <v>292</v>
      </c>
      <c r="J26" s="16" t="n">
        <f aca="false">IF(ISNUMBER(I26),I26-H26,"")</f>
        <v>219</v>
      </c>
      <c r="K26" s="14" t="n">
        <f aca="false">IF(ISNUMBER(I26),ROUND(I26/12,0),"")</f>
        <v>24</v>
      </c>
    </row>
    <row r="27" customFormat="false" ht="15" hidden="false" customHeight="true" outlineLevel="0" collapsed="false">
      <c r="B27" s="10" t="n">
        <v>12</v>
      </c>
      <c r="C27" s="11" t="s">
        <v>36</v>
      </c>
      <c r="D27" s="11" t="s">
        <v>26</v>
      </c>
      <c r="E27" s="12" t="n">
        <v>55</v>
      </c>
      <c r="F27" s="12" t="n">
        <v>10</v>
      </c>
      <c r="G27" s="13" t="n">
        <f aca="false">$F$13</f>
        <v>75</v>
      </c>
      <c r="H27" s="14" t="n">
        <f aca="false">E27+F27</f>
        <v>65</v>
      </c>
      <c r="I27" s="15" t="n">
        <f aca="false">IF(G27&gt;=100,"revisa el margen",ROUND(H27/(1-G27/100),0))</f>
        <v>260</v>
      </c>
      <c r="J27" s="16" t="n">
        <f aca="false">IF(ISNUMBER(I27),I27-H27,"")</f>
        <v>195</v>
      </c>
      <c r="K27" s="14" t="n">
        <f aca="false">IF(ISNUMBER(I27),ROUND(I27/12,0),"")</f>
        <v>22</v>
      </c>
    </row>
    <row r="28" customFormat="false" ht="15" hidden="false" customHeight="true" outlineLevel="0" collapsed="false">
      <c r="B28" s="10" t="n">
        <v>13</v>
      </c>
      <c r="C28" s="11" t="s">
        <v>37</v>
      </c>
      <c r="D28" s="11" t="s">
        <v>28</v>
      </c>
      <c r="E28" s="12" t="n">
        <v>78</v>
      </c>
      <c r="F28" s="12" t="n">
        <v>14</v>
      </c>
      <c r="G28" s="13" t="n">
        <f aca="false">$F$13</f>
        <v>75</v>
      </c>
      <c r="H28" s="14" t="n">
        <f aca="false">E28+F28</f>
        <v>92</v>
      </c>
      <c r="I28" s="15" t="n">
        <f aca="false">IF(G28&gt;=100,"revisa el margen",ROUND(H28/(1-G28/100),0))</f>
        <v>368</v>
      </c>
      <c r="J28" s="16" t="n">
        <f aca="false">IF(ISNUMBER(I28),I28-H28,"")</f>
        <v>276</v>
      </c>
      <c r="K28" s="14" t="n">
        <f aca="false">IF(ISNUMBER(I28),ROUND(I28/16,0),"")</f>
        <v>23</v>
      </c>
    </row>
    <row r="29" customFormat="false" ht="15" hidden="false" customHeight="true" outlineLevel="0" collapsed="false">
      <c r="B29" s="10" t="n">
        <v>14</v>
      </c>
      <c r="C29" s="11" t="s">
        <v>38</v>
      </c>
      <c r="D29" s="11" t="s">
        <v>26</v>
      </c>
      <c r="E29" s="12" t="n">
        <v>90</v>
      </c>
      <c r="F29" s="12" t="n">
        <v>16</v>
      </c>
      <c r="G29" s="13" t="n">
        <f aca="false">$F$13</f>
        <v>75</v>
      </c>
      <c r="H29" s="14" t="n">
        <f aca="false">E29+F29</f>
        <v>106</v>
      </c>
      <c r="I29" s="15" t="n">
        <f aca="false">IF(G29&gt;=100,"revisa el margen",ROUND(H29/(1-G29/100),0))</f>
        <v>424</v>
      </c>
      <c r="J29" s="16" t="n">
        <f aca="false">IF(ISNUMBER(I29),I29-H29,"")</f>
        <v>318</v>
      </c>
      <c r="K29" s="14" t="n">
        <f aca="false">IF(ISNUMBER(I29),ROUND(I29/12,0),"")</f>
        <v>35</v>
      </c>
    </row>
    <row r="30" customFormat="false" ht="15" hidden="false" customHeight="true" outlineLevel="0" collapsed="false">
      <c r="B30" s="10" t="n">
        <v>15</v>
      </c>
      <c r="C30" s="11" t="s">
        <v>39</v>
      </c>
      <c r="D30" s="11" t="s">
        <v>28</v>
      </c>
      <c r="E30" s="12" t="n">
        <v>70</v>
      </c>
      <c r="F30" s="12" t="n">
        <v>13</v>
      </c>
      <c r="G30" s="13" t="n">
        <f aca="false">$F$13</f>
        <v>75</v>
      </c>
      <c r="H30" s="14" t="n">
        <f aca="false">E30+F30</f>
        <v>83</v>
      </c>
      <c r="I30" s="15" t="n">
        <f aca="false">IF(G30&gt;=100,"revisa el margen",ROUND(H30/(1-G30/100),0))</f>
        <v>332</v>
      </c>
      <c r="J30" s="16" t="n">
        <f aca="false">IF(ISNUMBER(I30),I30-H30,"")</f>
        <v>249</v>
      </c>
      <c r="K30" s="14" t="n">
        <f aca="false">IF(ISNUMBER(I30),ROUND(I30/16,0),"")</f>
        <v>21</v>
      </c>
    </row>
    <row r="31" customFormat="false" ht="15" hidden="false" customHeight="true" outlineLevel="0" collapsed="false">
      <c r="B31" s="10" t="n">
        <v>16</v>
      </c>
      <c r="C31" s="11" t="s">
        <v>40</v>
      </c>
      <c r="D31" s="11" t="s">
        <v>41</v>
      </c>
      <c r="E31" s="12" t="n">
        <v>48</v>
      </c>
      <c r="F31" s="12" t="n">
        <v>9</v>
      </c>
      <c r="G31" s="13" t="n">
        <f aca="false">$F$13</f>
        <v>75</v>
      </c>
      <c r="H31" s="14" t="n">
        <f aca="false">E31+F31</f>
        <v>57</v>
      </c>
      <c r="I31" s="15" t="n">
        <f aca="false">IF(G31&gt;=100,"revisa el margen",ROUND(H31/(1-G31/100),0))</f>
        <v>228</v>
      </c>
      <c r="J31" s="16" t="n">
        <f aca="false">IF(ISNUMBER(I31),I31-H31,"")</f>
        <v>171</v>
      </c>
      <c r="K31" s="14" t="n">
        <f aca="false">IF(ISNUMBER(I31),ROUND(I31/12,0),"")</f>
        <v>19</v>
      </c>
    </row>
    <row r="32" customFormat="false" ht="15" hidden="false" customHeight="true" outlineLevel="0" collapsed="false">
      <c r="B32" s="10" t="n">
        <v>17</v>
      </c>
      <c r="C32" s="11" t="s">
        <v>42</v>
      </c>
      <c r="D32" s="11" t="s">
        <v>41</v>
      </c>
      <c r="E32" s="12" t="n">
        <v>55</v>
      </c>
      <c r="F32" s="12" t="n">
        <v>10</v>
      </c>
      <c r="G32" s="13" t="n">
        <f aca="false">$F$13</f>
        <v>75</v>
      </c>
      <c r="H32" s="14" t="n">
        <f aca="false">E32+F32</f>
        <v>65</v>
      </c>
      <c r="I32" s="15" t="n">
        <f aca="false">IF(G32&gt;=100,"revisa el margen",ROUND(H32/(1-G32/100),0))</f>
        <v>260</v>
      </c>
      <c r="J32" s="16" t="n">
        <f aca="false">IF(ISNUMBER(I32),I32-H32,"")</f>
        <v>195</v>
      </c>
      <c r="K32" s="14" t="n">
        <f aca="false">IF(ISNUMBER(I32),ROUND(I32/12,0),"")</f>
        <v>22</v>
      </c>
    </row>
    <row r="33" customFormat="false" ht="15" hidden="false" customHeight="true" outlineLevel="0" collapsed="false">
      <c r="B33" s="10" t="n">
        <v>18</v>
      </c>
      <c r="C33" s="11" t="s">
        <v>43</v>
      </c>
      <c r="D33" s="11" t="s">
        <v>44</v>
      </c>
      <c r="E33" s="12" t="n">
        <v>40</v>
      </c>
      <c r="F33" s="12" t="n">
        <v>7</v>
      </c>
      <c r="G33" s="13" t="n">
        <f aca="false">$F$13</f>
        <v>75</v>
      </c>
      <c r="H33" s="14" t="n">
        <f aca="false">E33+F33</f>
        <v>47</v>
      </c>
      <c r="I33" s="15" t="n">
        <f aca="false">IF(G33&gt;=100,"revisa el margen",ROUND(H33/(1-G33/100),0))</f>
        <v>188</v>
      </c>
      <c r="J33" s="16" t="n">
        <f aca="false">IF(ISNUMBER(I33),I33-H33,"")</f>
        <v>141</v>
      </c>
      <c r="K33" s="14" t="n">
        <f aca="false">IF(ISNUMBER(I33),ROUND(I33/20,0),"")</f>
        <v>9</v>
      </c>
    </row>
    <row r="34" customFormat="false" ht="15" hidden="false" customHeight="true" outlineLevel="0" collapsed="false">
      <c r="B34" s="10" t="n">
        <v>19</v>
      </c>
      <c r="C34" s="11" t="s">
        <v>45</v>
      </c>
      <c r="D34" s="11" t="s">
        <v>41</v>
      </c>
      <c r="E34" s="12" t="n">
        <v>45</v>
      </c>
      <c r="F34" s="12" t="n">
        <v>8</v>
      </c>
      <c r="G34" s="13" t="n">
        <f aca="false">$F$13</f>
        <v>75</v>
      </c>
      <c r="H34" s="14" t="n">
        <f aca="false">E34+F34</f>
        <v>53</v>
      </c>
      <c r="I34" s="15" t="n">
        <f aca="false">IF(G34&gt;=100,"revisa el margen",ROUND(H34/(1-G34/100),0))</f>
        <v>212</v>
      </c>
      <c r="J34" s="16" t="n">
        <f aca="false">IF(ISNUMBER(I34),I34-H34,"")</f>
        <v>159</v>
      </c>
      <c r="K34" s="14" t="n">
        <f aca="false">IF(ISNUMBER(I34),ROUND(I34/12,0),"")</f>
        <v>18</v>
      </c>
    </row>
    <row r="35" customFormat="false" ht="15" hidden="false" customHeight="true" outlineLevel="0" collapsed="false">
      <c r="B35" s="10" t="n">
        <v>20</v>
      </c>
      <c r="C35" s="11" t="s">
        <v>46</v>
      </c>
      <c r="D35" s="11" t="s">
        <v>47</v>
      </c>
      <c r="E35" s="12" t="n">
        <v>60</v>
      </c>
      <c r="F35" s="12" t="n">
        <v>11</v>
      </c>
      <c r="G35" s="13" t="n">
        <f aca="false">$F$13</f>
        <v>75</v>
      </c>
      <c r="H35" s="14" t="n">
        <f aca="false">E35+F35</f>
        <v>71</v>
      </c>
      <c r="I35" s="15" t="n">
        <f aca="false">IF(G35&gt;=100,"revisa el margen",ROUND(H35/(1-G35/100),0))</f>
        <v>284</v>
      </c>
      <c r="J35" s="16" t="n">
        <f aca="false">IF(ISNUMBER(I35),I35-H35,"")</f>
        <v>213</v>
      </c>
      <c r="K35" s="14" t="n">
        <f aca="false">IF(ISNUMBER(I35),ROUND(I35/24,0),"")</f>
        <v>12</v>
      </c>
    </row>
    <row r="36" customFormat="false" ht="15" hidden="false" customHeight="true" outlineLevel="0" collapsed="false">
      <c r="B36" s="10" t="n">
        <v>21</v>
      </c>
      <c r="C36" s="11" t="s">
        <v>48</v>
      </c>
      <c r="D36" s="11" t="s">
        <v>41</v>
      </c>
      <c r="E36" s="12" t="n">
        <v>50</v>
      </c>
      <c r="F36" s="12" t="n">
        <v>9</v>
      </c>
      <c r="G36" s="13" t="n">
        <f aca="false">$F$13</f>
        <v>75</v>
      </c>
      <c r="H36" s="14" t="n">
        <f aca="false">E36+F36</f>
        <v>59</v>
      </c>
      <c r="I36" s="15" t="n">
        <f aca="false">IF(G36&gt;=100,"revisa el margen",ROUND(H36/(1-G36/100),0))</f>
        <v>236</v>
      </c>
      <c r="J36" s="16" t="n">
        <f aca="false">IF(ISNUMBER(I36),I36-H36,"")</f>
        <v>177</v>
      </c>
      <c r="K36" s="14" t="n">
        <f aca="false">IF(ISNUMBER(I36),ROUND(I36/12,0),"")</f>
        <v>20</v>
      </c>
    </row>
    <row r="37" customFormat="false" ht="15" hidden="false" customHeight="true" outlineLevel="0" collapsed="false">
      <c r="B37" s="10" t="n">
        <v>22</v>
      </c>
      <c r="C37" s="11" t="s">
        <v>49</v>
      </c>
      <c r="D37" s="11" t="s">
        <v>41</v>
      </c>
      <c r="E37" s="12" t="n">
        <v>65</v>
      </c>
      <c r="F37" s="12" t="n">
        <v>12</v>
      </c>
      <c r="G37" s="13" t="n">
        <f aca="false">$F$13</f>
        <v>75</v>
      </c>
      <c r="H37" s="14" t="n">
        <f aca="false">E37+F37</f>
        <v>77</v>
      </c>
      <c r="I37" s="15" t="n">
        <f aca="false">IF(G37&gt;=100,"revisa el margen",ROUND(H37/(1-G37/100),0))</f>
        <v>308</v>
      </c>
      <c r="J37" s="16" t="n">
        <f aca="false">IF(ISNUMBER(I37),I37-H37,"")</f>
        <v>231</v>
      </c>
      <c r="K37" s="14" t="n">
        <f aca="false">IF(ISNUMBER(I37),ROUND(I37/12,0),"")</f>
        <v>26</v>
      </c>
    </row>
    <row r="38" customFormat="false" ht="15" hidden="false" customHeight="true" outlineLevel="0" collapsed="false">
      <c r="B38" s="10" t="n">
        <v>23</v>
      </c>
      <c r="C38" s="11" t="s">
        <v>50</v>
      </c>
      <c r="D38" s="11" t="s">
        <v>28</v>
      </c>
      <c r="E38" s="12" t="n">
        <v>58</v>
      </c>
      <c r="F38" s="12" t="n">
        <v>10</v>
      </c>
      <c r="G38" s="13" t="n">
        <f aca="false">$F$13</f>
        <v>75</v>
      </c>
      <c r="H38" s="14" t="n">
        <f aca="false">E38+F38</f>
        <v>68</v>
      </c>
      <c r="I38" s="15" t="n">
        <f aca="false">IF(G38&gt;=100,"revisa el margen",ROUND(H38/(1-G38/100),0))</f>
        <v>272</v>
      </c>
      <c r="J38" s="16" t="n">
        <f aca="false">IF(ISNUMBER(I38),I38-H38,"")</f>
        <v>204</v>
      </c>
      <c r="K38" s="14" t="n">
        <f aca="false">IF(ISNUMBER(I38),ROUND(I38/16,0),"")</f>
        <v>17</v>
      </c>
    </row>
    <row r="39" customFormat="false" ht="15" hidden="false" customHeight="true" outlineLevel="0" collapsed="false">
      <c r="B39" s="10" t="n">
        <v>24</v>
      </c>
      <c r="C39" s="11" t="s">
        <v>51</v>
      </c>
      <c r="D39" s="11" t="s">
        <v>52</v>
      </c>
      <c r="E39" s="12" t="n">
        <v>62</v>
      </c>
      <c r="F39" s="12" t="n">
        <v>11</v>
      </c>
      <c r="G39" s="13" t="n">
        <f aca="false">$F$13</f>
        <v>75</v>
      </c>
      <c r="H39" s="14" t="n">
        <f aca="false">E39+F39</f>
        <v>73</v>
      </c>
      <c r="I39" s="15" t="n">
        <f aca="false">IF(G39&gt;=100,"revisa el margen",ROUND(H39/(1-G39/100),0))</f>
        <v>292</v>
      </c>
      <c r="J39" s="16" t="n">
        <f aca="false">IF(ISNUMBER(I39),I39-H39,"")</f>
        <v>219</v>
      </c>
      <c r="K39" s="14" t="n">
        <f aca="false">IF(ISNUMBER(I39),ROUND(I39/18,0),"")</f>
        <v>16</v>
      </c>
    </row>
    <row r="40" customFormat="false" ht="15" hidden="false" customHeight="true" outlineLevel="0" collapsed="false">
      <c r="B40" s="10" t="n">
        <v>25</v>
      </c>
      <c r="C40" s="11" t="s">
        <v>53</v>
      </c>
      <c r="D40" s="11" t="s">
        <v>47</v>
      </c>
      <c r="E40" s="12" t="n">
        <v>38</v>
      </c>
      <c r="F40" s="12" t="n">
        <v>7</v>
      </c>
      <c r="G40" s="13" t="n">
        <f aca="false">$F$13</f>
        <v>75</v>
      </c>
      <c r="H40" s="14" t="n">
        <f aca="false">E40+F40</f>
        <v>45</v>
      </c>
      <c r="I40" s="15" t="n">
        <f aca="false">IF(G40&gt;=100,"revisa el margen",ROUND(H40/(1-G40/100),0))</f>
        <v>180</v>
      </c>
      <c r="J40" s="16" t="n">
        <f aca="false">IF(ISNUMBER(I40),I40-H40,"")</f>
        <v>135</v>
      </c>
      <c r="K40" s="14" t="n">
        <f aca="false">IF(ISNUMBER(I40),ROUND(I40/24,0),"")</f>
        <v>8</v>
      </c>
    </row>
    <row r="41" customFormat="false" ht="15" hidden="false" customHeight="true" outlineLevel="0" collapsed="false">
      <c r="B41" s="10" t="n">
        <v>26</v>
      </c>
      <c r="C41" s="11" t="s">
        <v>54</v>
      </c>
      <c r="D41" s="11" t="s">
        <v>55</v>
      </c>
      <c r="E41" s="12" t="n">
        <v>52</v>
      </c>
      <c r="F41" s="12" t="n">
        <v>9</v>
      </c>
      <c r="G41" s="13" t="n">
        <f aca="false">$F$13</f>
        <v>75</v>
      </c>
      <c r="H41" s="14" t="n">
        <f aca="false">E41+F41</f>
        <v>61</v>
      </c>
      <c r="I41" s="15" t="n">
        <f aca="false">IF(G41&gt;=100,"revisa el margen",ROUND(H41/(1-G41/100),0))</f>
        <v>244</v>
      </c>
      <c r="J41" s="16" t="n">
        <f aca="false">IF(ISNUMBER(I41),I41-H41,"")</f>
        <v>183</v>
      </c>
      <c r="K41" s="14" t="n">
        <f aca="false">IF(ISNUMBER(I41),ROUND(I41/16,0),"")</f>
        <v>15</v>
      </c>
    </row>
    <row r="42" customFormat="false" ht="15" hidden="false" customHeight="true" outlineLevel="0" collapsed="false">
      <c r="B42" s="10" t="n">
        <v>27</v>
      </c>
      <c r="C42" s="11" t="s">
        <v>56</v>
      </c>
      <c r="D42" s="11" t="s">
        <v>47</v>
      </c>
      <c r="E42" s="12" t="n">
        <v>42</v>
      </c>
      <c r="F42" s="12" t="n">
        <v>8</v>
      </c>
      <c r="G42" s="13" t="n">
        <f aca="false">$F$13</f>
        <v>75</v>
      </c>
      <c r="H42" s="14" t="n">
        <f aca="false">E42+F42</f>
        <v>50</v>
      </c>
      <c r="I42" s="15" t="n">
        <f aca="false">IF(G42&gt;=100,"revisa el margen",ROUND(H42/(1-G42/100),0))</f>
        <v>200</v>
      </c>
      <c r="J42" s="16" t="n">
        <f aca="false">IF(ISNUMBER(I42),I42-H42,"")</f>
        <v>150</v>
      </c>
      <c r="K42" s="14" t="n">
        <f aca="false">IF(ISNUMBER(I42),ROUND(I42/24,0),"")</f>
        <v>8</v>
      </c>
    </row>
    <row r="43" customFormat="false" ht="15" hidden="false" customHeight="true" outlineLevel="0" collapsed="false">
      <c r="B43" s="10" t="n">
        <v>28</v>
      </c>
      <c r="C43" s="11" t="s">
        <v>57</v>
      </c>
      <c r="D43" s="11" t="s">
        <v>44</v>
      </c>
      <c r="E43" s="12" t="n">
        <v>58</v>
      </c>
      <c r="F43" s="12" t="n">
        <v>10</v>
      </c>
      <c r="G43" s="13" t="n">
        <f aca="false">$F$13</f>
        <v>75</v>
      </c>
      <c r="H43" s="14" t="n">
        <f aca="false">E43+F43</f>
        <v>68</v>
      </c>
      <c r="I43" s="15" t="n">
        <f aca="false">IF(G43&gt;=100,"revisa el margen",ROUND(H43/(1-G43/100),0))</f>
        <v>272</v>
      </c>
      <c r="J43" s="16" t="n">
        <f aca="false">IF(ISNUMBER(I43),I43-H43,"")</f>
        <v>204</v>
      </c>
      <c r="K43" s="14" t="n">
        <f aca="false">IF(ISNUMBER(I43),ROUND(I43/20,0),"")</f>
        <v>14</v>
      </c>
    </row>
    <row r="44" customFormat="false" ht="15" hidden="false" customHeight="true" outlineLevel="0" collapsed="false">
      <c r="B44" s="10" t="n">
        <v>29</v>
      </c>
      <c r="C44" s="11" t="s">
        <v>58</v>
      </c>
      <c r="D44" s="11" t="s">
        <v>47</v>
      </c>
      <c r="E44" s="12" t="n">
        <v>70</v>
      </c>
      <c r="F44" s="12" t="n">
        <v>13</v>
      </c>
      <c r="G44" s="13" t="n">
        <f aca="false">$F$13</f>
        <v>75</v>
      </c>
      <c r="H44" s="14" t="n">
        <f aca="false">E44+F44</f>
        <v>83</v>
      </c>
      <c r="I44" s="15" t="n">
        <f aca="false">IF(G44&gt;=100,"revisa el margen",ROUND(H44/(1-G44/100),0))</f>
        <v>332</v>
      </c>
      <c r="J44" s="16" t="n">
        <f aca="false">IF(ISNUMBER(I44),I44-H44,"")</f>
        <v>249</v>
      </c>
      <c r="K44" s="14" t="n">
        <f aca="false">IF(ISNUMBER(I44),ROUND(I44/24,0),"")</f>
        <v>14</v>
      </c>
    </row>
    <row r="45" customFormat="false" ht="15" hidden="false" customHeight="true" outlineLevel="0" collapsed="false">
      <c r="B45" s="10" t="n">
        <v>30</v>
      </c>
      <c r="C45" s="11" t="s">
        <v>59</v>
      </c>
      <c r="D45" s="11" t="s">
        <v>41</v>
      </c>
      <c r="E45" s="12" t="n">
        <v>85</v>
      </c>
      <c r="F45" s="12" t="n">
        <v>15</v>
      </c>
      <c r="G45" s="13" t="n">
        <f aca="false">$F$13</f>
        <v>75</v>
      </c>
      <c r="H45" s="14" t="n">
        <f aca="false">E45+F45</f>
        <v>100</v>
      </c>
      <c r="I45" s="15" t="n">
        <f aca="false">IF(G45&gt;=100,"revisa el margen",ROUND(H45/(1-G45/100),0))</f>
        <v>400</v>
      </c>
      <c r="J45" s="16" t="n">
        <f aca="false">IF(ISNUMBER(I45),I45-H45,"")</f>
        <v>300</v>
      </c>
      <c r="K45" s="14" t="n">
        <f aca="false">IF(ISNUMBER(I45),ROUND(I45/12,0),"")</f>
        <v>33</v>
      </c>
    </row>
    <row r="46" customFormat="false" ht="15" hidden="false" customHeight="true" outlineLevel="0" collapsed="false">
      <c r="B46" s="17" t="s">
        <v>60</v>
      </c>
      <c r="C46" s="18"/>
      <c r="D46" s="18"/>
      <c r="E46" s="19" t="n">
        <f aca="false">SUM(E16:E45)</f>
        <v>1734</v>
      </c>
      <c r="F46" s="19" t="n">
        <f aca="false">SUM(F16:F45)</f>
        <v>313</v>
      </c>
      <c r="G46" s="18"/>
      <c r="H46" s="19" t="n">
        <f aca="false">SUM(H16:H45)</f>
        <v>2047</v>
      </c>
      <c r="I46" s="18"/>
      <c r="J46" s="19" t="n">
        <f aca="false">SUM(J16:J45)</f>
        <v>6141</v>
      </c>
      <c r="K46" s="18"/>
    </row>
    <row r="48" customFormat="false" ht="15" hidden="false" customHeight="true" outlineLevel="0" collapsed="false">
      <c r="B48" s="20" t="s">
        <v>61</v>
      </c>
    </row>
    <row r="49" customFormat="false" ht="15" hidden="false" customHeight="true" outlineLevel="0" collapsed="false">
      <c r="B49" s="20" t="s">
        <v>62</v>
      </c>
    </row>
    <row r="50" customFormat="false" ht="15" hidden="false" customHeight="false" outlineLevel="0" collapsed="false">
      <c r="B50" s="21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2"/>
    <col collapsed="false" customWidth="true" hidden="false" outlineLevel="0" max="4" min="3" style="1" width="5"/>
    <col collapsed="false" customWidth="true" hidden="false" outlineLevel="0" max="5" min="5" style="1" width="18"/>
  </cols>
  <sheetData>
    <row r="2" customFormat="false" ht="21.75" hidden="false" customHeight="true" outlineLevel="0" collapsed="false">
      <c r="B2" s="2" t="s">
        <v>64</v>
      </c>
    </row>
    <row r="3" customFormat="false" ht="15" hidden="false" customHeight="true" outlineLevel="0" collapsed="false">
      <c r="B3" s="3" t="s">
        <v>65</v>
      </c>
    </row>
    <row r="5" customFormat="false" ht="15" hidden="false" customHeight="true" outlineLevel="0" collapsed="false">
      <c r="B5" s="6" t="s">
        <v>66</v>
      </c>
      <c r="E5" s="22" t="s">
        <v>67</v>
      </c>
    </row>
    <row r="6" customFormat="false" ht="15" hidden="false" customHeight="true" outlineLevel="0" collapsed="false">
      <c r="B6" s="6" t="s">
        <v>68</v>
      </c>
      <c r="E6" s="23" t="n">
        <v>40</v>
      </c>
    </row>
    <row r="7" customFormat="false" ht="15" hidden="false" customHeight="true" outlineLevel="0" collapsed="false">
      <c r="B7" s="6" t="s">
        <v>69</v>
      </c>
      <c r="E7" s="24" t="n">
        <v>380</v>
      </c>
    </row>
    <row r="8" customFormat="false" ht="15" hidden="false" customHeight="true" outlineLevel="0" collapsed="false">
      <c r="B8" s="6" t="s">
        <v>70</v>
      </c>
      <c r="E8" s="24" t="n">
        <v>90</v>
      </c>
    </row>
    <row r="9" customFormat="false" ht="15" hidden="false" customHeight="true" outlineLevel="0" collapsed="false">
      <c r="B9" s="6" t="s">
        <v>71</v>
      </c>
      <c r="E9" s="24" t="n">
        <v>60</v>
      </c>
    </row>
    <row r="10" customFormat="false" ht="15" hidden="false" customHeight="true" outlineLevel="0" collapsed="false">
      <c r="B10" s="6" t="s">
        <v>72</v>
      </c>
      <c r="E10" s="23" t="n">
        <v>6</v>
      </c>
    </row>
    <row r="11" customFormat="false" ht="15" hidden="false" customHeight="true" outlineLevel="0" collapsed="false">
      <c r="B11" s="6" t="s">
        <v>73</v>
      </c>
      <c r="E11" s="24" t="n">
        <v>50</v>
      </c>
    </row>
    <row r="13" customFormat="false" ht="15" hidden="false" customHeight="true" outlineLevel="0" collapsed="false">
      <c r="B13" s="4" t="s">
        <v>74</v>
      </c>
    </row>
    <row r="14" customFormat="false" ht="15" hidden="false" customHeight="true" outlineLevel="0" collapsed="false">
      <c r="B14" s="8" t="s">
        <v>75</v>
      </c>
      <c r="E14" s="25" t="n">
        <f aca="false">E7+E8+E9</f>
        <v>530</v>
      </c>
    </row>
    <row r="15" customFormat="false" ht="15" hidden="false" customHeight="true" outlineLevel="0" collapsed="false">
      <c r="B15" s="8" t="s">
        <v>76</v>
      </c>
      <c r="E15" s="25" t="n">
        <f aca="false">E10*E11</f>
        <v>300</v>
      </c>
    </row>
    <row r="16" customFormat="false" ht="15" hidden="false" customHeight="true" outlineLevel="0" collapsed="false">
      <c r="B16" s="8" t="s">
        <v>77</v>
      </c>
      <c r="E16" s="25" t="n">
        <f aca="false">E14+E15</f>
        <v>830</v>
      </c>
    </row>
    <row r="17" customFormat="false" ht="15.75" hidden="false" customHeight="true" outlineLevel="0" collapsed="false">
      <c r="B17" s="6" t="s">
        <v>78</v>
      </c>
      <c r="E17" s="26" t="n">
        <f aca="false">ROUND(E14/(1-0.75),0)</f>
        <v>2120</v>
      </c>
    </row>
    <row r="18" customFormat="false" ht="15" hidden="false" customHeight="true" outlineLevel="0" collapsed="false">
      <c r="B18" s="6" t="s">
        <v>79</v>
      </c>
      <c r="E18" s="27" t="n">
        <f aca="false">E17-E16</f>
        <v>1290</v>
      </c>
    </row>
    <row r="19" customFormat="false" ht="15" hidden="false" customHeight="true" outlineLevel="0" collapsed="false">
      <c r="B19" s="6" t="s">
        <v>80</v>
      </c>
      <c r="E19" s="27" t="n">
        <f aca="false">IF(E6&gt;0,ROUND(E17/E6,0),"pone las piezas")</f>
        <v>53</v>
      </c>
    </row>
    <row r="21" customFormat="false" ht="15" hidden="false" customHeight="true" outlineLevel="0" collapsed="false">
      <c r="B21" s="28" t="s">
        <v>81</v>
      </c>
    </row>
    <row r="22" customFormat="false" ht="15" hidden="false" customHeight="true" outlineLevel="0" collapsed="false">
      <c r="B22" s="20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2026-10-23T15:05:54Z</dcterms:created>
  <dc:creator>openpyxl</dc:creator>
  <dc:description/>
  <dc:language>en-US</dc:language>
  <cp:lastModifiedBy/>
  <dcterms:modified xsi:type="dcterms:W3CDTF">2026-10-23T15:06:40Z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
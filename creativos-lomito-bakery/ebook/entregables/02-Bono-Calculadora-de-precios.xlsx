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Mis 30 rece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Fila de ejemplo tomada de la Receta 01 del curso:
$25 de ingredientes por tanda, $6 de empaque por bolsita,
rinde 30 galletas, bolsita de 10 piezas. Dato del propio ebook.</t>
        </r>
      </text>
    </comment>
    <comment ref="D37" authorId="0">
      <text>
        <r>
          <rPr>
            <sz val="10"/>
            <rFont val="Arial"/>
            <family val="2"/>
          </rPr>
          <t xml:space="preserve">Cámbialo por lo que gastaste de verdad.
El valor de ejemplo es $500 MXN.</t>
        </r>
      </text>
    </comment>
    <comment ref="F13" authorId="0">
      <text>
        <r>
          <rPr>
            <sz val="10"/>
            <rFont val="Arial"/>
            <family val="2"/>
          </rPr>
          <t xml:space="preserve">5.0 es el multiplicador que usa el curso.
Verificado contra las 30 recetas: reproduce sus precios
y su margen del 80 %. Usa 5.5-6 si entregas a domicilio.</t>
        </r>
      </text>
    </comment>
  </commentList>
</comments>
</file>

<file path=xl/sharedStrings.xml><?xml version="1.0" encoding="utf-8"?>
<sst xmlns="http://schemas.openxmlformats.org/spreadsheetml/2006/main" count="111" uniqueCount="70">
  <si>
    <t xml:space="preserve">CALCULADORA DE PRECIOS</t>
  </si>
  <si>
    <t xml:space="preserve">Pastelería Canina que Vende · Lomito Bakery · Bono 2 de 5</t>
  </si>
  <si>
    <t xml:space="preserve">CÓMO SE USA</t>
  </si>
  <si>
    <t xml:space="preserve">1.  Llena SOLO las celdas amarillas (columnas B a F). El resto se calcula solo.</t>
  </si>
  <si>
    <t xml:space="preserve">2.  La fila 9 es un ejemplo ya cargado: la receta 01 del curso. No la borres, úsala de guía.</t>
  </si>
  <si>
    <t xml:space="preserve">3.  Escribe tus costos reales de TU ciudad. Los del curso son de referencia.</t>
  </si>
  <si>
    <t xml:space="preserve">4.  El multiplicador x5 es el que usa el curso: reproduce sus precios y su margen del 80 %.</t>
  </si>
  <si>
    <t xml:space="preserve">     Usa 5.5 o 6 si entregas a domicilio. Nunca bajes de 4.</t>
  </si>
  <si>
    <t xml:space="preserve">Azul = lo escribes tú     ·     Negro = lo calcula la hoja</t>
  </si>
  <si>
    <t xml:space="preserve">Producto</t>
  </si>
  <si>
    <t xml:space="preserve">Costo ingredientes</t>
  </si>
  <si>
    <t xml:space="preserve">Costo empaque POR BOLSITA</t>
  </si>
  <si>
    <t xml:space="preserve">Rinde (piezas)</t>
  </si>
  <si>
    <t xml:space="preserve">Piezas por bolsita</t>
  </si>
  <si>
    <t xml:space="preserve">Multiplicador</t>
  </si>
  <si>
    <t xml:space="preserve">Costo por pieza</t>
  </si>
  <si>
    <t xml:space="preserve">Ingredientes por bolsita</t>
  </si>
  <si>
    <t xml:space="preserve">COSTO POR BOLSITA</t>
  </si>
  <si>
    <t xml:space="preserve">PRECIO SUGERIDO</t>
  </si>
  <si>
    <t xml:space="preserve">Tu ganancia</t>
  </si>
  <si>
    <t xml:space="preserve">Margen</t>
  </si>
  <si>
    <t xml:space="preserve">Galletas de plátano y avena (ejemplo)</t>
  </si>
  <si>
    <t xml:space="preserve">¿CUÁNTO FALTA PARA RECUPERAR LO QUE INVERTISTE?</t>
  </si>
  <si>
    <t xml:space="preserve">Lo que gastaste (curso, ingredientes, empaque, moldes)</t>
  </si>
  <si>
    <t xml:space="preserve">Bolsitas que tienes que vender (según la fila de ejemplo)</t>
  </si>
  <si>
    <t xml:space="preserve">Nota: todos los montos están en pesos mexicanos (MXN). Los costos del curso son de referencia; usa los de tu ciudad.</t>
  </si>
  <si>
    <t xml:space="preserve">LAS 30 RECETAS DEL CURSO</t>
  </si>
  <si>
    <t xml:space="preserve">Costos y precios de referencia que ya trae cada receta. Úsalos como punto de partida.</t>
  </si>
  <si>
    <t xml:space="preserve">#</t>
  </si>
  <si>
    <t xml:space="preserve">Categoría</t>
  </si>
  <si>
    <t xml:space="preserve">Receta</t>
  </si>
  <si>
    <t xml:space="preserve">Costo aprox.</t>
  </si>
  <si>
    <t xml:space="preserve">Precio de venta</t>
  </si>
  <si>
    <t xml:space="preserve">Nueva</t>
  </si>
  <si>
    <t xml:space="preserve">Galletas</t>
  </si>
  <si>
    <t xml:space="preserve">Galletas de plátano y avena</t>
  </si>
  <si>
    <t xml:space="preserve">Galletas de calabaza y canela</t>
  </si>
  <si>
    <t xml:space="preserve">Galletas de pollo y zanahoria</t>
  </si>
  <si>
    <t xml:space="preserve">Galletas de manzana y avena</t>
  </si>
  <si>
    <t xml:space="preserve">Galletas de cacahuate y coco</t>
  </si>
  <si>
    <t xml:space="preserve">Galletas de camote y avena</t>
  </si>
  <si>
    <t xml:space="preserve">Galletas de yogur y manzana</t>
  </si>
  <si>
    <t xml:space="preserve">Galletas de zanahoria y arroz</t>
  </si>
  <si>
    <t xml:space="preserve">Pupcakes Y Pasteles</t>
  </si>
  <si>
    <t xml:space="preserve">Pupcakes de plátano y cacahuate</t>
  </si>
  <si>
    <t xml:space="preserve">Pastel de zanahoria y manzana</t>
  </si>
  <si>
    <t xml:space="preserve">Pupcakes de pollo y papa</t>
  </si>
  <si>
    <t xml:space="preserve">Pastel huellita de calabaza y plátano</t>
  </si>
  <si>
    <t xml:space="preserve">Pupcakes de calabaza y yogur</t>
  </si>
  <si>
    <t xml:space="preserve">Pastel de plátano y cacahuate</t>
  </si>
  <si>
    <t xml:space="preserve">Mini pastel de pollo y camote</t>
  </si>
  <si>
    <t xml:space="preserve">Snacks Y Premios</t>
  </si>
  <si>
    <t xml:space="preserve">Premios de camote deshidratado</t>
  </si>
  <si>
    <t xml:space="preserve">Paletas heladas de yogur y fresa</t>
  </si>
  <si>
    <t xml:space="preserve">Bocaditos de hígado de pollo</t>
  </si>
  <si>
    <t xml:space="preserve">Chips de pollo deshidratado</t>
  </si>
  <si>
    <t xml:space="preserve">Chips de manzana deshidratada</t>
  </si>
  <si>
    <t xml:space="preserve">Paletas de plátano y cacahuate</t>
  </si>
  <si>
    <t xml:space="preserve">Bocaditos de pollo y avena</t>
  </si>
  <si>
    <t xml:space="preserve">Premios de zanahoria deshidratada</t>
  </si>
  <si>
    <t xml:space="preserve">Para Gatos</t>
  </si>
  <si>
    <t xml:space="preserve">Bocaditos de atún para gatos</t>
  </si>
  <si>
    <t xml:space="preserve">Premios de pollo para gatos</t>
  </si>
  <si>
    <t xml:space="preserve">Bocaditos de atún y calabaza para gatos</t>
  </si>
  <si>
    <t xml:space="preserve">Paletas heladas de yogur para gatos</t>
  </si>
  <si>
    <t xml:space="preserve">Sin Horno</t>
  </si>
  <si>
    <t xml:space="preserve">Bolitas de avena y cacahuate</t>
  </si>
  <si>
    <t xml:space="preserve">Paletas de calabaza y yogur</t>
  </si>
  <si>
    <t xml:space="preserve">Trufas de plátano y coco</t>
  </si>
  <si>
    <t xml:space="preserve">Promedio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</si>
</sst>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.0\x"/>
    <numFmt numFmtId="167" formatCode="\$#,##0"/>
    <numFmt numFmtId="168" formatCode="0.0%"/>
    <numFmt numFmtId="169" formatCode="0"/>
    <numFmt numFmtId="170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B2B20"/>
      <name val="Arial"/>
      <family val="0"/>
      <charset val="1"/>
    </font>
    <font>
      <sz val="10"/>
      <color rgb="FF7A6354"/>
      <name val="Arial"/>
      <family val="0"/>
      <charset val="1"/>
    </font>
    <font>
      <b val="true"/>
      <sz val="11"/>
      <color rgb="FFB5533C"/>
      <name val="Arial"/>
      <family val="0"/>
      <charset val="1"/>
    </font>
    <font>
      <sz val="9.5"/>
      <color rgb="FF3B2B20"/>
      <name val="Arial"/>
      <family val="0"/>
      <charset val="1"/>
    </font>
    <font>
      <i val="true"/>
      <sz val="9"/>
      <color rgb="FF7A635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3B2B2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8.5"/>
      <color rgb="FF7A6354"/>
      <name val="Arial"/>
      <family val="0"/>
      <charset val="1"/>
    </font>
    <font>
      <sz val="10"/>
      <name val="Arial"/>
      <family val="2"/>
    </font>
    <font>
      <b val="true"/>
      <sz val="16"/>
      <color rgb="FF3B2B20"/>
      <name val="Arial"/>
      <family val="0"/>
      <charset val="1"/>
    </font>
    <font>
      <sz val="9.5"/>
      <color rgb="FF7A6354"/>
      <name val="Arial"/>
      <family val="0"/>
      <charset val="1"/>
    </font>
    <font>
      <b val="true"/>
      <sz val="9.5"/>
      <color rgb="FF3B2B20"/>
      <name val="Arial"/>
      <family val="0"/>
      <charset val="1"/>
    </font>
    <font>
      <b val="true"/>
      <sz val="10"/>
      <color rgb="FF3B2B2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5533C"/>
        <bgColor rgb="FF993366"/>
      </patternFill>
    </fill>
    <fill>
      <patternFill patternType="solid">
        <fgColor rgb="FFFFF2B2"/>
        <bgColor rgb="FFFDF3E3"/>
      </patternFill>
    </fill>
    <fill>
      <patternFill patternType="solid">
        <fgColor rgb="FF9FD5BA"/>
        <bgColor rgb="FFD9C9B3"/>
      </patternFill>
    </fill>
    <fill>
      <patternFill patternType="solid">
        <fgColor rgb="FFFDF3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9B3"/>
      </left>
      <right style="thin">
        <color rgb="FFD9C9B3"/>
      </right>
      <top style="thin">
        <color rgb="FFD9C9B3"/>
      </top>
      <bottom style="thin">
        <color rgb="FFD9C9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9B3"/>
      <rgbColor rgb="FF808080"/>
      <rgbColor rgb="FF9999FF"/>
      <rgbColor rgb="FFB5533C"/>
      <rgbColor rgb="FFFDF3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FD5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63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B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5" t="s">
        <v>8</v>
      </c>
    </row>
    <row r="13" customFormat="false" ht="33.75" hidden="false" customHeight="true" outlineLevel="0" collapsed="false">
      <c r="A13" s="6" t="s">
        <v>9</v>
      </c>
      <c r="B13" s="6" t="s">
        <v>10</v>
      </c>
      <c r="C13" s="6" t="s">
        <v>11</v>
      </c>
      <c r="D13" s="6" t="s">
        <v>12</v>
      </c>
      <c r="E13" s="6" t="s">
        <v>13</v>
      </c>
      <c r="F13" s="6" t="s">
        <v>14</v>
      </c>
      <c r="G13" s="6" t="s">
        <v>15</v>
      </c>
      <c r="H13" s="6" t="s">
        <v>16</v>
      </c>
      <c r="I13" s="6" t="s">
        <v>17</v>
      </c>
      <c r="J13" s="6" t="s">
        <v>18</v>
      </c>
      <c r="K13" s="6" t="s">
        <v>19</v>
      </c>
      <c r="L13" s="6" t="s">
        <v>20</v>
      </c>
    </row>
    <row r="14" customFormat="false" ht="15" hidden="false" customHeight="false" outlineLevel="0" collapsed="false">
      <c r="A14" s="7" t="s">
        <v>21</v>
      </c>
      <c r="B14" s="8" t="n">
        <v>25</v>
      </c>
      <c r="C14" s="8" t="n">
        <v>6</v>
      </c>
      <c r="D14" s="7" t="n">
        <v>30</v>
      </c>
      <c r="E14" s="7" t="n">
        <v>10</v>
      </c>
      <c r="F14" s="9" t="n">
        <v>5</v>
      </c>
      <c r="G14" s="10" t="n">
        <f aca="false">IFERROR(B14/D14,"")</f>
        <v>0.833333333333333</v>
      </c>
      <c r="H14" s="10" t="n">
        <f aca="false">IFERROR(G14*E14,"")</f>
        <v>8.33333333333333</v>
      </c>
      <c r="I14" s="10" t="n">
        <f aca="false">IFERROR(H14+C14,"")</f>
        <v>14.3333333333333</v>
      </c>
      <c r="J14" s="11" t="n">
        <f aca="false">IFERROR(ROUND(I14*F14/5,0)*5,"")</f>
        <v>70</v>
      </c>
      <c r="K14" s="10" t="n">
        <f aca="false">IFERROR(J14-I14,"")</f>
        <v>55.6666666666667</v>
      </c>
      <c r="L14" s="12" t="n">
        <f aca="false">IFERROR(K14/J14,"")</f>
        <v>0.795238095238095</v>
      </c>
    </row>
    <row r="15" customFormat="false" ht="15" hidden="false" customHeight="false" outlineLevel="0" collapsed="false">
      <c r="A15" s="13"/>
      <c r="B15" s="14"/>
      <c r="C15" s="14"/>
      <c r="D15" s="13"/>
      <c r="E15" s="13"/>
      <c r="F15" s="15"/>
      <c r="G15" s="10" t="str">
        <f aca="false">IFERROR(B15/D15,"")</f>
        <v/>
      </c>
      <c r="H15" s="10" t="str">
        <f aca="false">IFERROR(G15*E15,"")</f>
        <v/>
      </c>
      <c r="I15" s="10" t="str">
        <f aca="false">IFERROR(H15+C15,"")</f>
        <v/>
      </c>
      <c r="J15" s="11" t="str">
        <f aca="false">IFERROR(ROUND(I15*F15/5,0)*5,"")</f>
        <v/>
      </c>
      <c r="K15" s="10" t="str">
        <f aca="false">IFERROR(J15-I15,"")</f>
        <v/>
      </c>
      <c r="L15" s="12" t="str">
        <f aca="false">IFERROR(K15/J15,"")</f>
        <v/>
      </c>
    </row>
    <row r="16" customFormat="false" ht="15" hidden="false" customHeight="false" outlineLevel="0" collapsed="false">
      <c r="A16" s="13"/>
      <c r="B16" s="14"/>
      <c r="C16" s="14"/>
      <c r="D16" s="13"/>
      <c r="E16" s="13"/>
      <c r="F16" s="15"/>
      <c r="G16" s="10" t="str">
        <f aca="false">IFERROR(B16/D16,"")</f>
        <v/>
      </c>
      <c r="H16" s="10" t="str">
        <f aca="false">IFERROR(G16*E16,"")</f>
        <v/>
      </c>
      <c r="I16" s="10" t="str">
        <f aca="false">IFERROR(H16+C16,"")</f>
        <v/>
      </c>
      <c r="J16" s="11" t="str">
        <f aca="false">IFERROR(ROUND(I16*F16/5,0)*5,"")</f>
        <v/>
      </c>
      <c r="K16" s="10" t="str">
        <f aca="false">IFERROR(J16-I16,"")</f>
        <v/>
      </c>
      <c r="L16" s="12" t="str">
        <f aca="false">IFERROR(K16/J16,"")</f>
        <v/>
      </c>
    </row>
    <row r="17" customFormat="false" ht="15" hidden="false" customHeight="false" outlineLevel="0" collapsed="false">
      <c r="A17" s="13"/>
      <c r="B17" s="14"/>
      <c r="C17" s="14"/>
      <c r="D17" s="13"/>
      <c r="E17" s="13"/>
      <c r="F17" s="15"/>
      <c r="G17" s="10" t="str">
        <f aca="false">IFERROR(B17/D17,"")</f>
        <v/>
      </c>
      <c r="H17" s="10" t="str">
        <f aca="false">IFERROR(G17*E17,"")</f>
        <v/>
      </c>
      <c r="I17" s="10" t="str">
        <f aca="false">IFERROR(H17+C17,"")</f>
        <v/>
      </c>
      <c r="J17" s="11" t="str">
        <f aca="false">IFERROR(ROUND(I17*F17/5,0)*5,"")</f>
        <v/>
      </c>
      <c r="K17" s="10" t="str">
        <f aca="false">IFERROR(J17-I17,"")</f>
        <v/>
      </c>
      <c r="L17" s="12" t="str">
        <f aca="false">IFERROR(K17/J17,"")</f>
        <v/>
      </c>
    </row>
    <row r="18" customFormat="false" ht="15" hidden="false" customHeight="false" outlineLevel="0" collapsed="false">
      <c r="A18" s="13"/>
      <c r="B18" s="14"/>
      <c r="C18" s="14"/>
      <c r="D18" s="13"/>
      <c r="E18" s="13"/>
      <c r="F18" s="15"/>
      <c r="G18" s="10" t="str">
        <f aca="false">IFERROR(B18/D18,"")</f>
        <v/>
      </c>
      <c r="H18" s="10" t="str">
        <f aca="false">IFERROR(G18*E18,"")</f>
        <v/>
      </c>
      <c r="I18" s="10" t="str">
        <f aca="false">IFERROR(H18+C18,"")</f>
        <v/>
      </c>
      <c r="J18" s="11" t="str">
        <f aca="false">IFERROR(ROUND(I18*F18/5,0)*5,"")</f>
        <v/>
      </c>
      <c r="K18" s="10" t="str">
        <f aca="false">IFERROR(J18-I18,"")</f>
        <v/>
      </c>
      <c r="L18" s="12" t="str">
        <f aca="false">IFERROR(K18/J18,"")</f>
        <v/>
      </c>
    </row>
    <row r="19" customFormat="false" ht="15" hidden="false" customHeight="false" outlineLevel="0" collapsed="false">
      <c r="A19" s="13"/>
      <c r="B19" s="14"/>
      <c r="C19" s="14"/>
      <c r="D19" s="13"/>
      <c r="E19" s="13"/>
      <c r="F19" s="15"/>
      <c r="G19" s="10" t="str">
        <f aca="false">IFERROR(B19/D19,"")</f>
        <v/>
      </c>
      <c r="H19" s="10" t="str">
        <f aca="false">IFERROR(G19*E19,"")</f>
        <v/>
      </c>
      <c r="I19" s="10" t="str">
        <f aca="false">IFERROR(H19+C19,"")</f>
        <v/>
      </c>
      <c r="J19" s="11" t="str">
        <f aca="false">IFERROR(ROUND(I19*F19/5,0)*5,"")</f>
        <v/>
      </c>
      <c r="K19" s="10" t="str">
        <f aca="false">IFERROR(J19-I19,"")</f>
        <v/>
      </c>
      <c r="L19" s="12" t="str">
        <f aca="false">IFERROR(K19/J19,"")</f>
        <v/>
      </c>
    </row>
    <row r="20" customFormat="false" ht="15" hidden="false" customHeight="false" outlineLevel="0" collapsed="false">
      <c r="A20" s="13"/>
      <c r="B20" s="14"/>
      <c r="C20" s="14"/>
      <c r="D20" s="13"/>
      <c r="E20" s="13"/>
      <c r="F20" s="15"/>
      <c r="G20" s="10" t="str">
        <f aca="false">IFERROR(B20/D20,"")</f>
        <v/>
      </c>
      <c r="H20" s="10" t="str">
        <f aca="false">IFERROR(G20*E20,"")</f>
        <v/>
      </c>
      <c r="I20" s="10" t="str">
        <f aca="false">IFERROR(H20+C20,"")</f>
        <v/>
      </c>
      <c r="J20" s="11" t="str">
        <f aca="false">IFERROR(ROUND(I20*F20/5,0)*5,"")</f>
        <v/>
      </c>
      <c r="K20" s="10" t="str">
        <f aca="false">IFERROR(J20-I20,"")</f>
        <v/>
      </c>
      <c r="L20" s="12" t="str">
        <f aca="false">IFERROR(K20/J20,"")</f>
        <v/>
      </c>
    </row>
    <row r="21" customFormat="false" ht="15" hidden="false" customHeight="false" outlineLevel="0" collapsed="false">
      <c r="A21" s="13"/>
      <c r="B21" s="14"/>
      <c r="C21" s="14"/>
      <c r="D21" s="13"/>
      <c r="E21" s="13"/>
      <c r="F21" s="15"/>
      <c r="G21" s="10" t="str">
        <f aca="false">IFERROR(B21/D21,"")</f>
        <v/>
      </c>
      <c r="H21" s="10" t="str">
        <f aca="false">IFERROR(G21*E21,"")</f>
        <v/>
      </c>
      <c r="I21" s="10" t="str">
        <f aca="false">IFERROR(H21+C21,"")</f>
        <v/>
      </c>
      <c r="J21" s="11" t="str">
        <f aca="false">IFERROR(ROUND(I21*F21/5,0)*5,"")</f>
        <v/>
      </c>
      <c r="K21" s="10" t="str">
        <f aca="false">IFERROR(J21-I21,"")</f>
        <v/>
      </c>
      <c r="L21" s="12" t="str">
        <f aca="false">IFERROR(K21/J21,"")</f>
        <v/>
      </c>
    </row>
    <row r="22" customFormat="false" ht="15" hidden="false" customHeight="false" outlineLevel="0" collapsed="false">
      <c r="A22" s="13"/>
      <c r="B22" s="14"/>
      <c r="C22" s="14"/>
      <c r="D22" s="13"/>
      <c r="E22" s="13"/>
      <c r="F22" s="15"/>
      <c r="G22" s="10" t="str">
        <f aca="false">IFERROR(B22/D22,"")</f>
        <v/>
      </c>
      <c r="H22" s="10" t="str">
        <f aca="false">IFERROR(G22*E22,"")</f>
        <v/>
      </c>
      <c r="I22" s="10" t="str">
        <f aca="false">IFERROR(H22+C22,"")</f>
        <v/>
      </c>
      <c r="J22" s="11" t="str">
        <f aca="false">IFERROR(ROUND(I22*F22/5,0)*5,"")</f>
        <v/>
      </c>
      <c r="K22" s="10" t="str">
        <f aca="false">IFERROR(J22-I22,"")</f>
        <v/>
      </c>
      <c r="L22" s="12" t="str">
        <f aca="false">IFERROR(K22/J22,"")</f>
        <v/>
      </c>
    </row>
    <row r="23" customFormat="false" ht="15" hidden="false" customHeight="false" outlineLevel="0" collapsed="false">
      <c r="A23" s="13"/>
      <c r="B23" s="14"/>
      <c r="C23" s="14"/>
      <c r="D23" s="13"/>
      <c r="E23" s="13"/>
      <c r="F23" s="15"/>
      <c r="G23" s="10" t="str">
        <f aca="false">IFERROR(B23/D23,"")</f>
        <v/>
      </c>
      <c r="H23" s="10" t="str">
        <f aca="false">IFERROR(G23*E23,"")</f>
        <v/>
      </c>
      <c r="I23" s="10" t="str">
        <f aca="false">IFERROR(H23+C23,"")</f>
        <v/>
      </c>
      <c r="J23" s="11" t="str">
        <f aca="false">IFERROR(ROUND(I23*F23/5,0)*5,"")</f>
        <v/>
      </c>
      <c r="K23" s="10" t="str">
        <f aca="false">IFERROR(J23-I23,"")</f>
        <v/>
      </c>
      <c r="L23" s="12" t="str">
        <f aca="false">IFERROR(K23/J23,"")</f>
        <v/>
      </c>
    </row>
    <row r="24" customFormat="false" ht="15" hidden="false" customHeight="false" outlineLevel="0" collapsed="false">
      <c r="A24" s="13"/>
      <c r="B24" s="14"/>
      <c r="C24" s="14"/>
      <c r="D24" s="13"/>
      <c r="E24" s="13"/>
      <c r="F24" s="15"/>
      <c r="G24" s="10" t="str">
        <f aca="false">IFERROR(B24/D24,"")</f>
        <v/>
      </c>
      <c r="H24" s="10" t="str">
        <f aca="false">IFERROR(G24*E24,"")</f>
        <v/>
      </c>
      <c r="I24" s="10" t="str">
        <f aca="false">IFERROR(H24+C24,"")</f>
        <v/>
      </c>
      <c r="J24" s="11" t="str">
        <f aca="false">IFERROR(ROUND(I24*F24/5,0)*5,"")</f>
        <v/>
      </c>
      <c r="K24" s="10" t="str">
        <f aca="false">IFERROR(J24-I24,"")</f>
        <v/>
      </c>
      <c r="L24" s="12" t="str">
        <f aca="false">IFERROR(K24/J24,"")</f>
        <v/>
      </c>
    </row>
    <row r="25" customFormat="false" ht="15" hidden="false" customHeight="false" outlineLevel="0" collapsed="false">
      <c r="A25" s="13"/>
      <c r="B25" s="14"/>
      <c r="C25" s="14"/>
      <c r="D25" s="13"/>
      <c r="E25" s="13"/>
      <c r="F25" s="15"/>
      <c r="G25" s="10" t="str">
        <f aca="false">IFERROR(B25/D25,"")</f>
        <v/>
      </c>
      <c r="H25" s="10" t="str">
        <f aca="false">IFERROR(G25*E25,"")</f>
        <v/>
      </c>
      <c r="I25" s="10" t="str">
        <f aca="false">IFERROR(H25+C25,"")</f>
        <v/>
      </c>
      <c r="J25" s="11" t="str">
        <f aca="false">IFERROR(ROUND(I25*F25/5,0)*5,"")</f>
        <v/>
      </c>
      <c r="K25" s="10" t="str">
        <f aca="false">IFERROR(J25-I25,"")</f>
        <v/>
      </c>
      <c r="L25" s="12" t="str">
        <f aca="false">IFERROR(K25/J25,"")</f>
        <v/>
      </c>
    </row>
    <row r="26" customFormat="false" ht="15" hidden="false" customHeight="false" outlineLevel="0" collapsed="false">
      <c r="A26" s="13"/>
      <c r="B26" s="14"/>
      <c r="C26" s="14"/>
      <c r="D26" s="13"/>
      <c r="E26" s="13"/>
      <c r="F26" s="15"/>
      <c r="G26" s="10" t="str">
        <f aca="false">IFERROR(B26/D26,"")</f>
        <v/>
      </c>
      <c r="H26" s="10" t="str">
        <f aca="false">IFERROR(G26*E26,"")</f>
        <v/>
      </c>
      <c r="I26" s="10" t="str">
        <f aca="false">IFERROR(H26+C26,"")</f>
        <v/>
      </c>
      <c r="J26" s="11" t="str">
        <f aca="false">IFERROR(ROUND(I26*F26/5,0)*5,"")</f>
        <v/>
      </c>
      <c r="K26" s="10" t="str">
        <f aca="false">IFERROR(J26-I26,"")</f>
        <v/>
      </c>
      <c r="L26" s="12" t="str">
        <f aca="false">IFERROR(K26/J26,"")</f>
        <v/>
      </c>
    </row>
    <row r="27" customFormat="false" ht="15" hidden="false" customHeight="false" outlineLevel="0" collapsed="false">
      <c r="A27" s="13"/>
      <c r="B27" s="14"/>
      <c r="C27" s="14"/>
      <c r="D27" s="13"/>
      <c r="E27" s="13"/>
      <c r="F27" s="15"/>
      <c r="G27" s="10" t="str">
        <f aca="false">IFERROR(B27/D27,"")</f>
        <v/>
      </c>
      <c r="H27" s="10" t="str">
        <f aca="false">IFERROR(G27*E27,"")</f>
        <v/>
      </c>
      <c r="I27" s="10" t="str">
        <f aca="false">IFERROR(H27+C27,"")</f>
        <v/>
      </c>
      <c r="J27" s="11" t="str">
        <f aca="false">IFERROR(ROUND(I27*F27/5,0)*5,"")</f>
        <v/>
      </c>
      <c r="K27" s="10" t="str">
        <f aca="false">IFERROR(J27-I27,"")</f>
        <v/>
      </c>
      <c r="L27" s="12" t="str">
        <f aca="false">IFERROR(K27/J27,"")</f>
        <v/>
      </c>
    </row>
    <row r="28" customFormat="false" ht="15" hidden="false" customHeight="false" outlineLevel="0" collapsed="false">
      <c r="A28" s="13"/>
      <c r="B28" s="14"/>
      <c r="C28" s="14"/>
      <c r="D28" s="13"/>
      <c r="E28" s="13"/>
      <c r="F28" s="15"/>
      <c r="G28" s="10" t="str">
        <f aca="false">IFERROR(B28/D28,"")</f>
        <v/>
      </c>
      <c r="H28" s="10" t="str">
        <f aca="false">IFERROR(G28*E28,"")</f>
        <v/>
      </c>
      <c r="I28" s="10" t="str">
        <f aca="false">IFERROR(H28+C28,"")</f>
        <v/>
      </c>
      <c r="J28" s="11" t="str">
        <f aca="false">IFERROR(ROUND(I28*F28/5,0)*5,"")</f>
        <v/>
      </c>
      <c r="K28" s="10" t="str">
        <f aca="false">IFERROR(J28-I28,"")</f>
        <v/>
      </c>
      <c r="L28" s="12" t="str">
        <f aca="false">IFERROR(K28/J28,"")</f>
        <v/>
      </c>
    </row>
    <row r="29" customFormat="false" ht="15" hidden="false" customHeight="false" outlineLevel="0" collapsed="false">
      <c r="A29" s="13"/>
      <c r="B29" s="14"/>
      <c r="C29" s="14"/>
      <c r="D29" s="13"/>
      <c r="E29" s="13"/>
      <c r="F29" s="15"/>
      <c r="G29" s="10" t="str">
        <f aca="false">IFERROR(B29/D29,"")</f>
        <v/>
      </c>
      <c r="H29" s="10" t="str">
        <f aca="false">IFERROR(G29*E29,"")</f>
        <v/>
      </c>
      <c r="I29" s="10" t="str">
        <f aca="false">IFERROR(H29+C29,"")</f>
        <v/>
      </c>
      <c r="J29" s="11" t="str">
        <f aca="false">IFERROR(ROUND(I29*F29/5,0)*5,"")</f>
        <v/>
      </c>
      <c r="K29" s="10" t="str">
        <f aca="false">IFERROR(J29-I29,"")</f>
        <v/>
      </c>
      <c r="L29" s="12" t="str">
        <f aca="false">IFERROR(K29/J29,"")</f>
        <v/>
      </c>
    </row>
    <row r="30" customFormat="false" ht="15" hidden="false" customHeight="false" outlineLevel="0" collapsed="false">
      <c r="A30" s="13"/>
      <c r="B30" s="14"/>
      <c r="C30" s="14"/>
      <c r="D30" s="13"/>
      <c r="E30" s="13"/>
      <c r="F30" s="15"/>
      <c r="G30" s="10" t="str">
        <f aca="false">IFERROR(B30/D30,"")</f>
        <v/>
      </c>
      <c r="H30" s="10" t="str">
        <f aca="false">IFERROR(G30*E30,"")</f>
        <v/>
      </c>
      <c r="I30" s="10" t="str">
        <f aca="false">IFERROR(H30+C30,"")</f>
        <v/>
      </c>
      <c r="J30" s="11" t="str">
        <f aca="false">IFERROR(ROUND(I30*F30/5,0)*5,"")</f>
        <v/>
      </c>
      <c r="K30" s="10" t="str">
        <f aca="false">IFERROR(J30-I30,"")</f>
        <v/>
      </c>
      <c r="L30" s="12" t="str">
        <f aca="false">IFERROR(K30/J30,"")</f>
        <v/>
      </c>
    </row>
    <row r="31" customFormat="false" ht="15" hidden="false" customHeight="false" outlineLevel="0" collapsed="false">
      <c r="A31" s="13"/>
      <c r="B31" s="14"/>
      <c r="C31" s="14"/>
      <c r="D31" s="13"/>
      <c r="E31" s="13"/>
      <c r="F31" s="15"/>
      <c r="G31" s="10" t="str">
        <f aca="false">IFERROR(B31/D31,"")</f>
        <v/>
      </c>
      <c r="H31" s="10" t="str">
        <f aca="false">IFERROR(G31*E31,"")</f>
        <v/>
      </c>
      <c r="I31" s="10" t="str">
        <f aca="false">IFERROR(H31+C31,"")</f>
        <v/>
      </c>
      <c r="J31" s="11" t="str">
        <f aca="false">IFERROR(ROUND(I31*F31/5,0)*5,"")</f>
        <v/>
      </c>
      <c r="K31" s="10" t="str">
        <f aca="false">IFERROR(J31-I31,"")</f>
        <v/>
      </c>
      <c r="L31" s="12" t="str">
        <f aca="false">IFERROR(K31/J31,"")</f>
        <v/>
      </c>
    </row>
    <row r="32" customFormat="false" ht="15" hidden="false" customHeight="false" outlineLevel="0" collapsed="false">
      <c r="A32" s="13"/>
      <c r="B32" s="14"/>
      <c r="C32" s="14"/>
      <c r="D32" s="13"/>
      <c r="E32" s="13"/>
      <c r="F32" s="15"/>
      <c r="G32" s="10" t="str">
        <f aca="false">IFERROR(B32/D32,"")</f>
        <v/>
      </c>
      <c r="H32" s="10" t="str">
        <f aca="false">IFERROR(G32*E32,"")</f>
        <v/>
      </c>
      <c r="I32" s="10" t="str">
        <f aca="false">IFERROR(H32+C32,"")</f>
        <v/>
      </c>
      <c r="J32" s="11" t="str">
        <f aca="false">IFERROR(ROUND(I32*F32/5,0)*5,"")</f>
        <v/>
      </c>
      <c r="K32" s="10" t="str">
        <f aca="false">IFERROR(J32-I32,"")</f>
        <v/>
      </c>
      <c r="L32" s="12" t="str">
        <f aca="false">IFERROR(K32/J32,"")</f>
        <v/>
      </c>
    </row>
    <row r="33" customFormat="false" ht="15" hidden="false" customHeight="false" outlineLevel="0" collapsed="false">
      <c r="A33" s="13"/>
      <c r="B33" s="14"/>
      <c r="C33" s="14"/>
      <c r="D33" s="13"/>
      <c r="E33" s="13"/>
      <c r="F33" s="15"/>
      <c r="G33" s="10" t="str">
        <f aca="false">IFERROR(B33/D33,"")</f>
        <v/>
      </c>
      <c r="H33" s="10" t="str">
        <f aca="false">IFERROR(G33*E33,"")</f>
        <v/>
      </c>
      <c r="I33" s="10" t="str">
        <f aca="false">IFERROR(H33+C33,"")</f>
        <v/>
      </c>
      <c r="J33" s="11" t="str">
        <f aca="false">IFERROR(ROUND(I33*F33/5,0)*5,"")</f>
        <v/>
      </c>
      <c r="K33" s="10" t="str">
        <f aca="false">IFERROR(J33-I33,"")</f>
        <v/>
      </c>
      <c r="L33" s="12" t="str">
        <f aca="false">IFERROR(K33/J33,"")</f>
        <v/>
      </c>
    </row>
    <row r="36" customFormat="false" ht="15" hidden="false" customHeight="false" outlineLevel="0" collapsed="false">
      <c r="A36" s="3" t="s">
        <v>22</v>
      </c>
    </row>
    <row r="37" customFormat="false" ht="15" hidden="false" customHeight="false" outlineLevel="0" collapsed="false">
      <c r="A37" s="16" t="s">
        <v>23</v>
      </c>
      <c r="D37" s="17" t="n">
        <v>500</v>
      </c>
    </row>
    <row r="38" customFormat="false" ht="15" hidden="false" customHeight="false" outlineLevel="0" collapsed="false">
      <c r="A38" s="16" t="s">
        <v>24</v>
      </c>
      <c r="D38" s="18" t="n">
        <f aca="false">IFERROR(ROUNDUP(D37/K14,0),"")</f>
        <v>9</v>
      </c>
    </row>
    <row r="40" customFormat="false" ht="15" hidden="false" customHeight="false" outlineLevel="0" collapsed="false">
      <c r="A40" s="19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9"/>
  </cols>
  <sheetData>
    <row r="1" customFormat="false" ht="19.7" hidden="false" customHeight="false" outlineLevel="0" collapsed="false">
      <c r="A1" s="20" t="s">
        <v>26</v>
      </c>
    </row>
    <row r="2" customFormat="false" ht="15" hidden="false" customHeight="false" outlineLevel="0" collapsed="false">
      <c r="A2" s="21" t="s">
        <v>27</v>
      </c>
    </row>
    <row r="4" customFormat="false" ht="15" hidden="false" customHeight="false" outlineLevel="0" collapsed="false">
      <c r="A4" s="22" t="s">
        <v>28</v>
      </c>
      <c r="B4" s="22" t="s">
        <v>29</v>
      </c>
      <c r="C4" s="22" t="s">
        <v>30</v>
      </c>
      <c r="D4" s="22" t="s">
        <v>31</v>
      </c>
      <c r="E4" s="22" t="s">
        <v>32</v>
      </c>
      <c r="F4" s="22" t="s">
        <v>20</v>
      </c>
      <c r="G4" s="22" t="s">
        <v>33</v>
      </c>
    </row>
    <row r="5" customFormat="false" ht="15" hidden="false" customHeight="false" outlineLevel="0" collapsed="false">
      <c r="A5" s="23" t="n">
        <v>1</v>
      </c>
      <c r="B5" s="23" t="s">
        <v>34</v>
      </c>
      <c r="C5" s="23" t="s">
        <v>35</v>
      </c>
      <c r="D5" s="24" t="n">
        <v>25</v>
      </c>
      <c r="E5" s="24" t="n">
        <v>70</v>
      </c>
      <c r="F5" s="25" t="n">
        <v>0.8</v>
      </c>
      <c r="G5" s="23"/>
    </row>
    <row r="6" customFormat="false" ht="15" hidden="false" customHeight="false" outlineLevel="0" collapsed="false">
      <c r="A6" s="26" t="n">
        <v>2</v>
      </c>
      <c r="B6" s="26" t="s">
        <v>34</v>
      </c>
      <c r="C6" s="26" t="s">
        <v>36</v>
      </c>
      <c r="D6" s="27" t="n">
        <v>30</v>
      </c>
      <c r="E6" s="27" t="n">
        <v>75</v>
      </c>
      <c r="F6" s="28" t="n">
        <v>0.8</v>
      </c>
      <c r="G6" s="26"/>
    </row>
    <row r="7" customFormat="false" ht="15" hidden="false" customHeight="false" outlineLevel="0" collapsed="false">
      <c r="A7" s="23" t="n">
        <v>3</v>
      </c>
      <c r="B7" s="23" t="s">
        <v>34</v>
      </c>
      <c r="C7" s="23" t="s">
        <v>37</v>
      </c>
      <c r="D7" s="24" t="n">
        <v>40</v>
      </c>
      <c r="E7" s="24" t="n">
        <v>85</v>
      </c>
      <c r="F7" s="25" t="n">
        <v>0.75</v>
      </c>
      <c r="G7" s="23"/>
    </row>
    <row r="8" customFormat="false" ht="15" hidden="false" customHeight="false" outlineLevel="0" collapsed="false">
      <c r="A8" s="26" t="n">
        <v>4</v>
      </c>
      <c r="B8" s="26" t="s">
        <v>34</v>
      </c>
      <c r="C8" s="26" t="s">
        <v>38</v>
      </c>
      <c r="D8" s="27" t="n">
        <v>25</v>
      </c>
      <c r="E8" s="27" t="n">
        <v>70</v>
      </c>
      <c r="F8" s="28" t="n">
        <v>0.8</v>
      </c>
      <c r="G8" s="26"/>
    </row>
    <row r="9" customFormat="false" ht="15" hidden="false" customHeight="false" outlineLevel="0" collapsed="false">
      <c r="A9" s="23" t="n">
        <v>5</v>
      </c>
      <c r="B9" s="23" t="s">
        <v>34</v>
      </c>
      <c r="C9" s="23" t="s">
        <v>39</v>
      </c>
      <c r="D9" s="24" t="n">
        <v>30</v>
      </c>
      <c r="E9" s="24" t="n">
        <v>75</v>
      </c>
      <c r="F9" s="25" t="n">
        <v>0.8</v>
      </c>
      <c r="G9" s="23"/>
    </row>
    <row r="10" customFormat="false" ht="15" hidden="false" customHeight="false" outlineLevel="0" collapsed="false">
      <c r="A10" s="26" t="n">
        <v>16</v>
      </c>
      <c r="B10" s="26" t="s">
        <v>34</v>
      </c>
      <c r="C10" s="26" t="s">
        <v>40</v>
      </c>
      <c r="D10" s="27" t="n">
        <v>22</v>
      </c>
      <c r="E10" s="27" t="n">
        <v>70</v>
      </c>
      <c r="F10" s="28" t="n">
        <v>0.8</v>
      </c>
      <c r="G10" s="29" t="s">
        <v>33</v>
      </c>
    </row>
    <row r="11" customFormat="false" ht="15" hidden="false" customHeight="false" outlineLevel="0" collapsed="false">
      <c r="A11" s="23" t="n">
        <v>17</v>
      </c>
      <c r="B11" s="23" t="s">
        <v>34</v>
      </c>
      <c r="C11" s="23" t="s">
        <v>41</v>
      </c>
      <c r="D11" s="24" t="n">
        <v>28</v>
      </c>
      <c r="E11" s="24" t="n">
        <v>75</v>
      </c>
      <c r="F11" s="25" t="n">
        <v>0.78</v>
      </c>
      <c r="G11" s="29" t="s">
        <v>33</v>
      </c>
    </row>
    <row r="12" customFormat="false" ht="15" hidden="false" customHeight="false" outlineLevel="0" collapsed="false">
      <c r="A12" s="26" t="n">
        <v>18</v>
      </c>
      <c r="B12" s="26" t="s">
        <v>34</v>
      </c>
      <c r="C12" s="26" t="s">
        <v>42</v>
      </c>
      <c r="D12" s="27" t="n">
        <v>24</v>
      </c>
      <c r="E12" s="27" t="n">
        <v>70</v>
      </c>
      <c r="F12" s="28" t="n">
        <v>0.8</v>
      </c>
      <c r="G12" s="29" t="s">
        <v>33</v>
      </c>
    </row>
    <row r="13" customFormat="false" ht="15" hidden="false" customHeight="false" outlineLevel="0" collapsed="false">
      <c r="A13" s="23" t="n">
        <v>6</v>
      </c>
      <c r="B13" s="23" t="s">
        <v>43</v>
      </c>
      <c r="C13" s="23" t="s">
        <v>44</v>
      </c>
      <c r="D13" s="24" t="n">
        <v>60</v>
      </c>
      <c r="E13" s="24" t="n">
        <v>120</v>
      </c>
      <c r="F13" s="25" t="n">
        <v>0.7</v>
      </c>
      <c r="G13" s="23"/>
    </row>
    <row r="14" customFormat="false" ht="15" hidden="false" customHeight="false" outlineLevel="0" collapsed="false">
      <c r="A14" s="26" t="n">
        <v>7</v>
      </c>
      <c r="B14" s="26" t="s">
        <v>43</v>
      </c>
      <c r="C14" s="26" t="s">
        <v>45</v>
      </c>
      <c r="D14" s="27" t="n">
        <v>70</v>
      </c>
      <c r="E14" s="27" t="n">
        <v>350</v>
      </c>
      <c r="F14" s="28" t="n">
        <v>0.75</v>
      </c>
      <c r="G14" s="26"/>
    </row>
    <row r="15" customFormat="false" ht="15" hidden="false" customHeight="false" outlineLevel="0" collapsed="false">
      <c r="A15" s="23" t="n">
        <v>8</v>
      </c>
      <c r="B15" s="23" t="s">
        <v>43</v>
      </c>
      <c r="C15" s="23" t="s">
        <v>46</v>
      </c>
      <c r="D15" s="24" t="n">
        <v>75</v>
      </c>
      <c r="E15" s="24" t="n">
        <v>140</v>
      </c>
      <c r="F15" s="25" t="n">
        <v>0.7</v>
      </c>
      <c r="G15" s="23"/>
    </row>
    <row r="16" customFormat="false" ht="15" hidden="false" customHeight="false" outlineLevel="0" collapsed="false">
      <c r="A16" s="26" t="n">
        <v>9</v>
      </c>
      <c r="B16" s="26" t="s">
        <v>43</v>
      </c>
      <c r="C16" s="26" t="s">
        <v>47</v>
      </c>
      <c r="D16" s="27" t="n">
        <v>80</v>
      </c>
      <c r="E16" s="27" t="n">
        <v>380</v>
      </c>
      <c r="F16" s="28" t="n">
        <v>0.75</v>
      </c>
      <c r="G16" s="26"/>
    </row>
    <row r="17" customFormat="false" ht="15" hidden="false" customHeight="false" outlineLevel="0" collapsed="false">
      <c r="A17" s="23" t="n">
        <v>19</v>
      </c>
      <c r="B17" s="23" t="s">
        <v>43</v>
      </c>
      <c r="C17" s="23" t="s">
        <v>48</v>
      </c>
      <c r="D17" s="24" t="n">
        <v>55</v>
      </c>
      <c r="E17" s="24" t="n">
        <v>120</v>
      </c>
      <c r="F17" s="25" t="n">
        <v>0.72</v>
      </c>
      <c r="G17" s="29" t="s">
        <v>33</v>
      </c>
    </row>
    <row r="18" customFormat="false" ht="15" hidden="false" customHeight="false" outlineLevel="0" collapsed="false">
      <c r="A18" s="26" t="n">
        <v>20</v>
      </c>
      <c r="B18" s="26" t="s">
        <v>43</v>
      </c>
      <c r="C18" s="26" t="s">
        <v>49</v>
      </c>
      <c r="D18" s="27" t="n">
        <v>65</v>
      </c>
      <c r="E18" s="27" t="n">
        <v>350</v>
      </c>
      <c r="F18" s="28" t="n">
        <v>0.78</v>
      </c>
      <c r="G18" s="29" t="s">
        <v>33</v>
      </c>
    </row>
    <row r="19" customFormat="false" ht="15" hidden="false" customHeight="false" outlineLevel="0" collapsed="false">
      <c r="A19" s="23" t="n">
        <v>21</v>
      </c>
      <c r="B19" s="23" t="s">
        <v>43</v>
      </c>
      <c r="C19" s="23" t="s">
        <v>50</v>
      </c>
      <c r="D19" s="24" t="n">
        <v>70</v>
      </c>
      <c r="E19" s="24" t="n">
        <v>300</v>
      </c>
      <c r="F19" s="25" t="n">
        <v>0.76</v>
      </c>
      <c r="G19" s="29" t="s">
        <v>33</v>
      </c>
    </row>
    <row r="20" customFormat="false" ht="15" hidden="false" customHeight="false" outlineLevel="0" collapsed="false">
      <c r="A20" s="26" t="n">
        <v>10</v>
      </c>
      <c r="B20" s="26" t="s">
        <v>51</v>
      </c>
      <c r="C20" s="26" t="s">
        <v>52</v>
      </c>
      <c r="D20" s="27" t="n">
        <v>30</v>
      </c>
      <c r="E20" s="27" t="n">
        <v>90</v>
      </c>
      <c r="F20" s="28" t="n">
        <v>0.75</v>
      </c>
      <c r="G20" s="26"/>
    </row>
    <row r="21" customFormat="false" ht="15" hidden="false" customHeight="false" outlineLevel="0" collapsed="false">
      <c r="A21" s="23" t="n">
        <v>11</v>
      </c>
      <c r="B21" s="23" t="s">
        <v>51</v>
      </c>
      <c r="C21" s="23" t="s">
        <v>53</v>
      </c>
      <c r="D21" s="24" t="n">
        <v>50</v>
      </c>
      <c r="E21" s="24" t="n">
        <v>100</v>
      </c>
      <c r="F21" s="25" t="n">
        <v>0.7</v>
      </c>
      <c r="G21" s="23"/>
    </row>
    <row r="22" customFormat="false" ht="15" hidden="false" customHeight="false" outlineLevel="0" collapsed="false">
      <c r="A22" s="26" t="n">
        <v>12</v>
      </c>
      <c r="B22" s="26" t="s">
        <v>51</v>
      </c>
      <c r="C22" s="26" t="s">
        <v>54</v>
      </c>
      <c r="D22" s="27" t="n">
        <v>45</v>
      </c>
      <c r="E22" s="27" t="n">
        <v>95</v>
      </c>
      <c r="F22" s="28" t="n">
        <v>0.75</v>
      </c>
      <c r="G22" s="26"/>
    </row>
    <row r="23" customFormat="false" ht="15" hidden="false" customHeight="false" outlineLevel="0" collapsed="false">
      <c r="A23" s="23" t="n">
        <v>13</v>
      </c>
      <c r="B23" s="23" t="s">
        <v>51</v>
      </c>
      <c r="C23" s="23" t="s">
        <v>55</v>
      </c>
      <c r="D23" s="24" t="n">
        <v>70</v>
      </c>
      <c r="E23" s="24" t="n">
        <v>120</v>
      </c>
      <c r="F23" s="25" t="n">
        <v>0.6</v>
      </c>
      <c r="G23" s="23"/>
    </row>
    <row r="24" customFormat="false" ht="15" hidden="false" customHeight="false" outlineLevel="0" collapsed="false">
      <c r="A24" s="26" t="n">
        <v>22</v>
      </c>
      <c r="B24" s="26" t="s">
        <v>51</v>
      </c>
      <c r="C24" s="26" t="s">
        <v>56</v>
      </c>
      <c r="D24" s="27" t="n">
        <v>20</v>
      </c>
      <c r="E24" s="27" t="n">
        <v>80</v>
      </c>
      <c r="F24" s="28" t="n">
        <v>0.75</v>
      </c>
      <c r="G24" s="29" t="s">
        <v>33</v>
      </c>
    </row>
    <row r="25" customFormat="false" ht="15" hidden="false" customHeight="false" outlineLevel="0" collapsed="false">
      <c r="A25" s="23" t="n">
        <v>23</v>
      </c>
      <c r="B25" s="23" t="s">
        <v>51</v>
      </c>
      <c r="C25" s="23" t="s">
        <v>57</v>
      </c>
      <c r="D25" s="24" t="n">
        <v>45</v>
      </c>
      <c r="E25" s="24" t="n">
        <v>100</v>
      </c>
      <c r="F25" s="25" t="n">
        <v>0.72</v>
      </c>
      <c r="G25" s="29" t="s">
        <v>33</v>
      </c>
    </row>
    <row r="26" customFormat="false" ht="15" hidden="false" customHeight="false" outlineLevel="0" collapsed="false">
      <c r="A26" s="26" t="n">
        <v>24</v>
      </c>
      <c r="B26" s="26" t="s">
        <v>51</v>
      </c>
      <c r="C26" s="26" t="s">
        <v>58</v>
      </c>
      <c r="D26" s="27" t="n">
        <v>40</v>
      </c>
      <c r="E26" s="27" t="n">
        <v>90</v>
      </c>
      <c r="F26" s="28" t="n">
        <v>0.76</v>
      </c>
      <c r="G26" s="29" t="s">
        <v>33</v>
      </c>
    </row>
    <row r="27" customFormat="false" ht="15" hidden="false" customHeight="false" outlineLevel="0" collapsed="false">
      <c r="A27" s="23" t="n">
        <v>25</v>
      </c>
      <c r="B27" s="23" t="s">
        <v>51</v>
      </c>
      <c r="C27" s="23" t="s">
        <v>59</v>
      </c>
      <c r="D27" s="24" t="n">
        <v>15</v>
      </c>
      <c r="E27" s="24" t="n">
        <v>75</v>
      </c>
      <c r="F27" s="25" t="n">
        <v>0.8</v>
      </c>
      <c r="G27" s="29" t="s">
        <v>33</v>
      </c>
    </row>
    <row r="28" customFormat="false" ht="15" hidden="false" customHeight="false" outlineLevel="0" collapsed="false">
      <c r="A28" s="26" t="n">
        <v>14</v>
      </c>
      <c r="B28" s="26" t="s">
        <v>60</v>
      </c>
      <c r="C28" s="26" t="s">
        <v>61</v>
      </c>
      <c r="D28" s="27" t="n">
        <v>40</v>
      </c>
      <c r="E28" s="27" t="n">
        <v>80</v>
      </c>
      <c r="F28" s="28" t="n">
        <v>0.7</v>
      </c>
      <c r="G28" s="26"/>
    </row>
    <row r="29" customFormat="false" ht="15" hidden="false" customHeight="false" outlineLevel="0" collapsed="false">
      <c r="A29" s="23" t="n">
        <v>15</v>
      </c>
      <c r="B29" s="23" t="s">
        <v>60</v>
      </c>
      <c r="C29" s="23" t="s">
        <v>62</v>
      </c>
      <c r="D29" s="24" t="n">
        <v>45</v>
      </c>
      <c r="E29" s="24" t="n">
        <v>85</v>
      </c>
      <c r="F29" s="25" t="n">
        <v>0.7</v>
      </c>
      <c r="G29" s="23"/>
    </row>
    <row r="30" customFormat="false" ht="15" hidden="false" customHeight="false" outlineLevel="0" collapsed="false">
      <c r="A30" s="26" t="n">
        <v>26</v>
      </c>
      <c r="B30" s="26" t="s">
        <v>60</v>
      </c>
      <c r="C30" s="26" t="s">
        <v>63</v>
      </c>
      <c r="D30" s="27" t="n">
        <v>38</v>
      </c>
      <c r="E30" s="27" t="n">
        <v>80</v>
      </c>
      <c r="F30" s="28" t="n">
        <v>0.72</v>
      </c>
      <c r="G30" s="29" t="s">
        <v>33</v>
      </c>
    </row>
    <row r="31" customFormat="false" ht="15" hidden="false" customHeight="false" outlineLevel="0" collapsed="false">
      <c r="A31" s="23" t="n">
        <v>27</v>
      </c>
      <c r="B31" s="23" t="s">
        <v>60</v>
      </c>
      <c r="C31" s="23" t="s">
        <v>64</v>
      </c>
      <c r="D31" s="24" t="n">
        <v>35</v>
      </c>
      <c r="E31" s="24" t="n">
        <v>90</v>
      </c>
      <c r="F31" s="25" t="n">
        <v>0.75</v>
      </c>
      <c r="G31" s="29" t="s">
        <v>33</v>
      </c>
    </row>
    <row r="32" customFormat="false" ht="15" hidden="false" customHeight="false" outlineLevel="0" collapsed="false">
      <c r="A32" s="26" t="n">
        <v>28</v>
      </c>
      <c r="B32" s="26" t="s">
        <v>65</v>
      </c>
      <c r="C32" s="26" t="s">
        <v>66</v>
      </c>
      <c r="D32" s="27" t="n">
        <v>30</v>
      </c>
      <c r="E32" s="27" t="n">
        <v>85</v>
      </c>
      <c r="F32" s="28" t="n">
        <v>0.78</v>
      </c>
      <c r="G32" s="29" t="s">
        <v>33</v>
      </c>
    </row>
    <row r="33" customFormat="false" ht="15" hidden="false" customHeight="false" outlineLevel="0" collapsed="false">
      <c r="A33" s="23" t="n">
        <v>29</v>
      </c>
      <c r="B33" s="23" t="s">
        <v>65</v>
      </c>
      <c r="C33" s="23" t="s">
        <v>67</v>
      </c>
      <c r="D33" s="24" t="n">
        <v>35</v>
      </c>
      <c r="E33" s="24" t="n">
        <v>95</v>
      </c>
      <c r="F33" s="25" t="n">
        <v>0.76</v>
      </c>
      <c r="G33" s="29" t="s">
        <v>33</v>
      </c>
    </row>
    <row r="34" customFormat="false" ht="15" hidden="false" customHeight="false" outlineLevel="0" collapsed="false">
      <c r="A34" s="26" t="n">
        <v>30</v>
      </c>
      <c r="B34" s="26" t="s">
        <v>65</v>
      </c>
      <c r="C34" s="26" t="s">
        <v>68</v>
      </c>
      <c r="D34" s="27" t="n">
        <v>32</v>
      </c>
      <c r="E34" s="27" t="n">
        <v>110</v>
      </c>
      <c r="F34" s="28" t="n">
        <v>0.77</v>
      </c>
      <c r="G34" s="29" t="s">
        <v>33</v>
      </c>
    </row>
    <row r="35" customFormat="false" ht="15" hidden="false" customHeight="false" outlineLevel="0" collapsed="false">
      <c r="C35" s="30" t="s">
        <v>69</v>
      </c>
      <c r="D35" s="11" t="n">
        <f aca="false">AVERAGE(D5:D34)</f>
        <v>42.3</v>
      </c>
      <c r="E35" s="11" t="n">
        <f aca="false">AVERAGE(E5:E34)</f>
        <v>124.166666666667</v>
      </c>
      <c r="F35" s="31" t="n">
        <f aca="false">AVERAGE(F5:F34)</f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2026-10-13T00:37:00Z</dcterms:created>
  <dc:creator>openpyxl</dc:creator>
  <dc:description/>
  <dc:language>en-US</dc:language>
  <cp:lastModifiedBy/>
  <dcterms:modified xsi:type="dcterms:W3CDTF">2026-10-13T00:37:00Z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